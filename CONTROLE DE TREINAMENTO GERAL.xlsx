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/>
  <mc:AlternateContent xmlns:mc="http://schemas.openxmlformats.org/markup-compatibility/2006">
    <mc:Choice Requires="x15">
      <x15ac:absPath xmlns:x15ac="http://schemas.microsoft.com/office/spreadsheetml/2010/11/ac" url="C:\Users\altec\OneDrive\Documentos\EMISSOR DE CERTIFICADOS NR\"/>
    </mc:Choice>
  </mc:AlternateContent>
  <xr:revisionPtr revIDLastSave="0" documentId="13_ncr:1_{BBC5435D-ADE4-49B2-9BB1-9BAA548E20C8}" xr6:coauthVersionLast="47" xr6:coauthVersionMax="47" xr10:uidLastSave="{00000000-0000-0000-0000-000000000000}"/>
  <bookViews>
    <workbookView xWindow="-98" yWindow="-98" windowWidth="21795" windowHeight="12975" tabRatio="589" xr2:uid="{00000000-000D-0000-FFFF-FFFF00000000}"/>
  </bookViews>
  <sheets>
    <sheet name="ALTEC INDUSTRIAL" sheetId="1" r:id="rId1"/>
  </sheets>
  <definedNames>
    <definedName name="_xlnm._FilterDatabase" localSheetId="0" hidden="1">'ALTEC INDUSTRIAL'!$A$1:$AF$120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20" i="1" l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0" i="1"/>
  <c r="D29" i="1"/>
  <c r="D28" i="1"/>
  <c r="D27" i="1"/>
  <c r="D26" i="1"/>
  <c r="D25" i="1"/>
  <c r="D24" i="1"/>
  <c r="D23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T78" i="1" l="1"/>
  <c r="N78" i="1"/>
  <c r="H78" i="1"/>
  <c r="F78" i="1"/>
  <c r="AD106" i="1" l="1"/>
  <c r="F91" i="1"/>
  <c r="T106" i="1" l="1"/>
  <c r="Z106" i="1"/>
  <c r="L54" i="1"/>
  <c r="N54" i="1"/>
  <c r="H54" i="1"/>
  <c r="F54" i="1"/>
  <c r="F4" i="1" l="1"/>
  <c r="F106" i="1"/>
  <c r="N106" i="1"/>
  <c r="H106" i="1"/>
  <c r="R116" i="1" l="1"/>
  <c r="L116" i="1"/>
  <c r="T116" i="1"/>
  <c r="P116" i="1"/>
  <c r="N116" i="1" l="1"/>
  <c r="H116" i="1"/>
  <c r="F116" i="1"/>
  <c r="AB37" i="1" l="1"/>
  <c r="AB38" i="1"/>
  <c r="T20" i="1" l="1"/>
  <c r="N20" i="1"/>
  <c r="L20" i="1"/>
  <c r="H20" i="1"/>
  <c r="F20" i="1"/>
  <c r="R71" i="1" l="1"/>
  <c r="T71" i="1"/>
  <c r="N71" i="1"/>
  <c r="P71" i="1"/>
  <c r="L71" i="1"/>
  <c r="H71" i="1"/>
  <c r="F71" i="1"/>
  <c r="N38" i="1"/>
  <c r="H38" i="1"/>
  <c r="F38" i="1"/>
  <c r="F102" i="1" l="1"/>
  <c r="L37" i="1"/>
  <c r="P76" i="1"/>
  <c r="L76" i="1"/>
  <c r="T76" i="1"/>
  <c r="R76" i="1"/>
  <c r="T37" i="1" l="1"/>
  <c r="N37" i="1"/>
  <c r="H37" i="1"/>
  <c r="F37" i="1"/>
  <c r="P37" i="1" l="1"/>
  <c r="R37" i="1"/>
  <c r="F50" i="1" l="1"/>
  <c r="T50" i="1"/>
  <c r="F48" i="1"/>
  <c r="T82" i="1"/>
  <c r="N82" i="1"/>
  <c r="H82" i="1"/>
  <c r="F82" i="1"/>
  <c r="N30" i="1" l="1"/>
  <c r="H30" i="1"/>
  <c r="F30" i="1" l="1"/>
  <c r="F109" i="1"/>
  <c r="T22" i="1"/>
  <c r="H22" i="1"/>
  <c r="N22" i="1"/>
  <c r="N48" i="1"/>
  <c r="T48" i="1"/>
  <c r="H48" i="1"/>
  <c r="N109" i="1"/>
  <c r="T109" i="1"/>
  <c r="T13" i="1" l="1"/>
  <c r="R13" i="1"/>
  <c r="P13" i="1"/>
  <c r="N13" i="1"/>
  <c r="H13" i="1"/>
  <c r="F12" i="1"/>
  <c r="F13" i="1"/>
  <c r="N76" i="1" l="1"/>
  <c r="H76" i="1"/>
  <c r="H50" i="1"/>
  <c r="H73" i="1"/>
  <c r="F73" i="1"/>
  <c r="F76" i="1"/>
  <c r="P73" i="1"/>
  <c r="N73" i="1"/>
  <c r="R73" i="1"/>
  <c r="N50" i="1"/>
  <c r="T73" i="1"/>
  <c r="N60" i="1" l="1"/>
  <c r="H60" i="1"/>
  <c r="F60" i="1"/>
  <c r="P102" i="1"/>
  <c r="N102" i="1"/>
  <c r="L102" i="1"/>
  <c r="H102" i="1"/>
  <c r="AD56" i="1" l="1"/>
  <c r="AD57" i="1"/>
  <c r="AD58" i="1"/>
  <c r="AD59" i="1"/>
  <c r="AD61" i="1"/>
  <c r="AD62" i="1"/>
  <c r="AD63" i="1"/>
  <c r="AD64" i="1"/>
  <c r="AD65" i="1"/>
  <c r="AD67" i="1"/>
  <c r="AD68" i="1"/>
  <c r="AD69" i="1"/>
  <c r="AD70" i="1"/>
  <c r="AD72" i="1"/>
  <c r="AD74" i="1"/>
  <c r="AD75" i="1"/>
  <c r="AD77" i="1"/>
  <c r="AD79" i="1"/>
  <c r="AD80" i="1"/>
  <c r="AD81" i="1"/>
  <c r="AD83" i="1"/>
  <c r="AD84" i="1"/>
  <c r="AD85" i="1"/>
  <c r="AD86" i="1"/>
  <c r="AD87" i="1"/>
  <c r="AD88" i="1"/>
  <c r="AD89" i="1"/>
  <c r="AD90" i="1"/>
  <c r="AD92" i="1"/>
  <c r="AD93" i="1"/>
  <c r="AD94" i="1"/>
  <c r="AD95" i="1"/>
  <c r="AD96" i="1"/>
  <c r="AD97" i="1"/>
  <c r="AD98" i="1"/>
  <c r="AD99" i="1"/>
  <c r="AD100" i="1"/>
  <c r="AD101" i="1"/>
  <c r="AD103" i="1"/>
  <c r="AD104" i="1"/>
  <c r="AD105" i="1"/>
  <c r="AD107" i="1"/>
  <c r="AD108" i="1"/>
  <c r="AD110" i="1"/>
  <c r="AD111" i="1"/>
  <c r="AD112" i="1"/>
  <c r="AD113" i="1"/>
  <c r="AD114" i="1"/>
  <c r="AD115" i="1"/>
  <c r="AD117" i="1"/>
  <c r="AD118" i="1"/>
  <c r="AD119" i="1"/>
  <c r="AD120" i="1"/>
  <c r="AD2" i="1"/>
  <c r="AD3" i="1"/>
  <c r="AD5" i="1"/>
  <c r="AD6" i="1"/>
  <c r="AD7" i="1"/>
  <c r="AD8" i="1"/>
  <c r="AD9" i="1"/>
  <c r="AD10" i="1"/>
  <c r="AD11" i="1"/>
  <c r="AD12" i="1"/>
  <c r="AD14" i="1"/>
  <c r="AD15" i="1"/>
  <c r="AD16" i="1"/>
  <c r="AD17" i="1"/>
  <c r="AD18" i="1"/>
  <c r="AD19" i="1"/>
  <c r="AD21" i="1"/>
  <c r="AD23" i="1"/>
  <c r="AD24" i="1"/>
  <c r="AD25" i="1"/>
  <c r="AD26" i="1"/>
  <c r="AD27" i="1"/>
  <c r="AD28" i="1"/>
  <c r="AD29" i="1"/>
  <c r="AD32" i="1"/>
  <c r="AD33" i="1"/>
  <c r="AD34" i="1"/>
  <c r="AD35" i="1"/>
  <c r="AD36" i="1"/>
  <c r="AD39" i="1"/>
  <c r="AD40" i="1"/>
  <c r="AD41" i="1"/>
  <c r="AD42" i="1"/>
  <c r="AD43" i="1"/>
  <c r="AD44" i="1"/>
  <c r="AD45" i="1"/>
  <c r="AD46" i="1"/>
  <c r="AD47" i="1"/>
  <c r="AD49" i="1"/>
  <c r="AD51" i="1"/>
  <c r="AD52" i="1"/>
  <c r="AD53" i="1"/>
  <c r="AB32" i="1"/>
  <c r="AB33" i="1"/>
  <c r="AB34" i="1"/>
  <c r="AB35" i="1"/>
  <c r="AB36" i="1"/>
  <c r="AB39" i="1"/>
  <c r="AB40" i="1"/>
  <c r="AB41" i="1"/>
  <c r="AB42" i="1"/>
  <c r="AB43" i="1"/>
  <c r="AB44" i="1"/>
  <c r="AB45" i="1"/>
  <c r="AB46" i="1"/>
  <c r="AB47" i="1"/>
  <c r="AB49" i="1"/>
  <c r="AB51" i="1"/>
  <c r="AB52" i="1"/>
  <c r="AB53" i="1"/>
  <c r="AB55" i="1"/>
  <c r="AB56" i="1"/>
  <c r="AB57" i="1"/>
  <c r="AB58" i="1"/>
  <c r="AB59" i="1"/>
  <c r="AB61" i="1"/>
  <c r="AB62" i="1"/>
  <c r="AB63" i="1"/>
  <c r="AB64" i="1"/>
  <c r="AB65" i="1"/>
  <c r="AB67" i="1"/>
  <c r="AB68" i="1"/>
  <c r="AB69" i="1"/>
  <c r="AB70" i="1"/>
  <c r="AB72" i="1"/>
  <c r="AB74" i="1"/>
  <c r="AB75" i="1"/>
  <c r="AB77" i="1"/>
  <c r="AB79" i="1"/>
  <c r="AB80" i="1"/>
  <c r="AB81" i="1"/>
  <c r="AB83" i="1"/>
  <c r="AB84" i="1"/>
  <c r="AB85" i="1"/>
  <c r="AB86" i="1"/>
  <c r="AB87" i="1"/>
  <c r="AB88" i="1"/>
  <c r="AB89" i="1"/>
  <c r="AB90" i="1"/>
  <c r="AB92" i="1"/>
  <c r="AB93" i="1"/>
  <c r="AB94" i="1"/>
  <c r="AB95" i="1"/>
  <c r="AB96" i="1"/>
  <c r="AB97" i="1"/>
  <c r="AB98" i="1"/>
  <c r="AB99" i="1"/>
  <c r="AB100" i="1"/>
  <c r="AB101" i="1"/>
  <c r="AB103" i="1"/>
  <c r="AB104" i="1"/>
  <c r="AB105" i="1"/>
  <c r="AB107" i="1"/>
  <c r="AB108" i="1"/>
  <c r="AB110" i="1"/>
  <c r="AB111" i="1"/>
  <c r="AB112" i="1"/>
  <c r="AB113" i="1"/>
  <c r="AB114" i="1"/>
  <c r="AB115" i="1"/>
  <c r="AB117" i="1"/>
  <c r="AB118" i="1"/>
  <c r="AB119" i="1"/>
  <c r="AB120" i="1"/>
  <c r="AB2" i="1"/>
  <c r="AB3" i="1"/>
  <c r="AB5" i="1"/>
  <c r="AB6" i="1"/>
  <c r="AB7" i="1"/>
  <c r="AB8" i="1"/>
  <c r="AB9" i="1"/>
  <c r="AB10" i="1"/>
  <c r="AB11" i="1"/>
  <c r="AB12" i="1"/>
  <c r="AB14" i="1"/>
  <c r="AB15" i="1"/>
  <c r="AB16" i="1"/>
  <c r="AB17" i="1"/>
  <c r="AB18" i="1"/>
  <c r="AB19" i="1"/>
  <c r="AB21" i="1"/>
  <c r="AB23" i="1"/>
  <c r="AB24" i="1"/>
  <c r="AB25" i="1"/>
  <c r="AB26" i="1"/>
  <c r="AB27" i="1"/>
  <c r="AB28" i="1"/>
  <c r="Z56" i="1"/>
  <c r="Z57" i="1"/>
  <c r="Z58" i="1"/>
  <c r="Z59" i="1"/>
  <c r="Z61" i="1"/>
  <c r="Z62" i="1"/>
  <c r="Z63" i="1"/>
  <c r="Z64" i="1"/>
  <c r="Z65" i="1"/>
  <c r="Z67" i="1"/>
  <c r="Z68" i="1"/>
  <c r="Z69" i="1"/>
  <c r="Z70" i="1"/>
  <c r="Z72" i="1"/>
  <c r="Z74" i="1"/>
  <c r="Z75" i="1"/>
  <c r="Z77" i="1"/>
  <c r="Z79" i="1"/>
  <c r="Z80" i="1"/>
  <c r="Z81" i="1"/>
  <c r="Z83" i="1"/>
  <c r="Z84" i="1"/>
  <c r="Z85" i="1"/>
  <c r="Z86" i="1"/>
  <c r="Z87" i="1"/>
  <c r="Z88" i="1"/>
  <c r="Z89" i="1"/>
  <c r="Z90" i="1"/>
  <c r="Z92" i="1"/>
  <c r="Z93" i="1"/>
  <c r="Z94" i="1"/>
  <c r="Z95" i="1"/>
  <c r="Z96" i="1"/>
  <c r="Z97" i="1"/>
  <c r="Z98" i="1"/>
  <c r="Z99" i="1"/>
  <c r="Z100" i="1"/>
  <c r="Z101" i="1"/>
  <c r="Z103" i="1"/>
  <c r="Z104" i="1"/>
  <c r="Z105" i="1"/>
  <c r="Z107" i="1"/>
  <c r="Z108" i="1"/>
  <c r="Z110" i="1"/>
  <c r="Z111" i="1"/>
  <c r="Z112" i="1"/>
  <c r="Z113" i="1"/>
  <c r="Z114" i="1"/>
  <c r="Z115" i="1"/>
  <c r="Z117" i="1"/>
  <c r="Z118" i="1"/>
  <c r="Z119" i="1"/>
  <c r="Z120" i="1"/>
  <c r="Z2" i="1"/>
  <c r="Z3" i="1"/>
  <c r="Z5" i="1"/>
  <c r="Z6" i="1"/>
  <c r="Z7" i="1"/>
  <c r="Z8" i="1"/>
  <c r="Z9" i="1"/>
  <c r="Z10" i="1"/>
  <c r="Z11" i="1"/>
  <c r="Z12" i="1"/>
  <c r="Z14" i="1"/>
  <c r="Z15" i="1"/>
  <c r="Z16" i="1"/>
  <c r="Z17" i="1"/>
  <c r="Z18" i="1"/>
  <c r="Z19" i="1"/>
  <c r="Z21" i="1"/>
  <c r="Z23" i="1"/>
  <c r="Z24" i="1"/>
  <c r="Z25" i="1"/>
  <c r="Z26" i="1"/>
  <c r="Z27" i="1"/>
  <c r="Z28" i="1"/>
  <c r="Z29" i="1"/>
  <c r="Z32" i="1"/>
  <c r="Z33" i="1"/>
  <c r="Z34" i="1"/>
  <c r="Z35" i="1"/>
  <c r="Z36" i="1"/>
  <c r="Z39" i="1"/>
  <c r="Z40" i="1"/>
  <c r="Z41" i="1"/>
  <c r="Z42" i="1"/>
  <c r="Z43" i="1"/>
  <c r="Z44" i="1"/>
  <c r="Z45" i="1"/>
  <c r="Z46" i="1"/>
  <c r="Z47" i="1"/>
  <c r="Z49" i="1"/>
  <c r="Z51" i="1"/>
  <c r="Z52" i="1"/>
  <c r="Z53" i="1"/>
  <c r="V5" i="1"/>
  <c r="V6" i="1"/>
  <c r="V7" i="1"/>
  <c r="V8" i="1"/>
  <c r="V9" i="1"/>
  <c r="V10" i="1"/>
  <c r="V11" i="1"/>
  <c r="V12" i="1"/>
  <c r="V14" i="1"/>
  <c r="V15" i="1"/>
  <c r="V16" i="1"/>
  <c r="V17" i="1"/>
  <c r="V18" i="1"/>
  <c r="V19" i="1"/>
  <c r="V21" i="1"/>
  <c r="V23" i="1"/>
  <c r="V24" i="1"/>
  <c r="V25" i="1"/>
  <c r="V26" i="1"/>
  <c r="V27" i="1"/>
  <c r="V28" i="1"/>
  <c r="V29" i="1"/>
  <c r="V32" i="1"/>
  <c r="V33" i="1"/>
  <c r="V34" i="1"/>
  <c r="V35" i="1"/>
  <c r="V36" i="1"/>
  <c r="V39" i="1"/>
  <c r="V40" i="1"/>
  <c r="V41" i="1"/>
  <c r="V42" i="1"/>
  <c r="V43" i="1"/>
  <c r="V44" i="1"/>
  <c r="V45" i="1"/>
  <c r="V46" i="1"/>
  <c r="V47" i="1"/>
  <c r="V49" i="1"/>
  <c r="V51" i="1"/>
  <c r="V52" i="1"/>
  <c r="V53" i="1"/>
  <c r="V55" i="1"/>
  <c r="V56" i="1"/>
  <c r="V57" i="1"/>
  <c r="V58" i="1"/>
  <c r="V59" i="1"/>
  <c r="V61" i="1"/>
  <c r="V62" i="1"/>
  <c r="V63" i="1"/>
  <c r="V64" i="1"/>
  <c r="V65" i="1"/>
  <c r="V67" i="1"/>
  <c r="V68" i="1"/>
  <c r="V69" i="1"/>
  <c r="V70" i="1"/>
  <c r="V72" i="1"/>
  <c r="V74" i="1"/>
  <c r="V75" i="1"/>
  <c r="V77" i="1"/>
  <c r="V79" i="1"/>
  <c r="V80" i="1"/>
  <c r="V81" i="1"/>
  <c r="V83" i="1"/>
  <c r="V84" i="1"/>
  <c r="V85" i="1"/>
  <c r="V86" i="1"/>
  <c r="V87" i="1"/>
  <c r="V88" i="1"/>
  <c r="V89" i="1"/>
  <c r="V90" i="1"/>
  <c r="V92" i="1"/>
  <c r="V93" i="1"/>
  <c r="V94" i="1"/>
  <c r="V95" i="1"/>
  <c r="V96" i="1"/>
  <c r="V97" i="1"/>
  <c r="V98" i="1"/>
  <c r="V99" i="1"/>
  <c r="V100" i="1"/>
  <c r="V101" i="1"/>
  <c r="V103" i="1"/>
  <c r="V104" i="1"/>
  <c r="V105" i="1"/>
  <c r="V107" i="1"/>
  <c r="V108" i="1"/>
  <c r="V110" i="1"/>
  <c r="V111" i="1"/>
  <c r="V112" i="1"/>
  <c r="V113" i="1"/>
  <c r="V114" i="1"/>
  <c r="V115" i="1"/>
  <c r="V117" i="1"/>
  <c r="V118" i="1"/>
  <c r="V119" i="1"/>
  <c r="V120" i="1"/>
  <c r="V2" i="1"/>
  <c r="T5" i="1"/>
  <c r="T6" i="1"/>
  <c r="T7" i="1"/>
  <c r="T8" i="1"/>
  <c r="T9" i="1"/>
  <c r="T10" i="1"/>
  <c r="T11" i="1"/>
  <c r="T12" i="1"/>
  <c r="T14" i="1"/>
  <c r="T15" i="1"/>
  <c r="T16" i="1"/>
  <c r="T17" i="1"/>
  <c r="T18" i="1"/>
  <c r="T19" i="1"/>
  <c r="T21" i="1"/>
  <c r="T23" i="1"/>
  <c r="T24" i="1"/>
  <c r="T25" i="1"/>
  <c r="T26" i="1"/>
  <c r="T27" i="1"/>
  <c r="T28" i="1"/>
  <c r="T29" i="1"/>
  <c r="T32" i="1"/>
  <c r="T33" i="1"/>
  <c r="T34" i="1"/>
  <c r="T35" i="1"/>
  <c r="T36" i="1"/>
  <c r="T39" i="1"/>
  <c r="T40" i="1"/>
  <c r="T41" i="1"/>
  <c r="T42" i="1"/>
  <c r="T43" i="1"/>
  <c r="T44" i="1"/>
  <c r="T45" i="1"/>
  <c r="T46" i="1"/>
  <c r="T47" i="1"/>
  <c r="T49" i="1"/>
  <c r="T51" i="1"/>
  <c r="T52" i="1"/>
  <c r="T53" i="1"/>
  <c r="T55" i="1"/>
  <c r="T56" i="1"/>
  <c r="T57" i="1"/>
  <c r="T58" i="1"/>
  <c r="T59" i="1"/>
  <c r="T61" i="1"/>
  <c r="T62" i="1"/>
  <c r="T63" i="1"/>
  <c r="T64" i="1"/>
  <c r="T65" i="1"/>
  <c r="T67" i="1"/>
  <c r="T68" i="1"/>
  <c r="T69" i="1"/>
  <c r="T70" i="1"/>
  <c r="T72" i="1"/>
  <c r="T74" i="1"/>
  <c r="T75" i="1"/>
  <c r="T77" i="1"/>
  <c r="T79" i="1"/>
  <c r="T80" i="1"/>
  <c r="T81" i="1"/>
  <c r="T83" i="1"/>
  <c r="T84" i="1"/>
  <c r="T85" i="1"/>
  <c r="T86" i="1"/>
  <c r="T87" i="1"/>
  <c r="T88" i="1"/>
  <c r="T89" i="1"/>
  <c r="T90" i="1"/>
  <c r="T92" i="1"/>
  <c r="T93" i="1"/>
  <c r="T94" i="1"/>
  <c r="T95" i="1"/>
  <c r="T96" i="1"/>
  <c r="T97" i="1"/>
  <c r="T98" i="1"/>
  <c r="T99" i="1"/>
  <c r="T100" i="1"/>
  <c r="T101" i="1"/>
  <c r="T103" i="1"/>
  <c r="T104" i="1"/>
  <c r="T105" i="1"/>
  <c r="T107" i="1"/>
  <c r="T108" i="1"/>
  <c r="T110" i="1"/>
  <c r="T111" i="1"/>
  <c r="T112" i="1"/>
  <c r="T113" i="1"/>
  <c r="T114" i="1"/>
  <c r="T115" i="1"/>
  <c r="T117" i="1"/>
  <c r="T118" i="1"/>
  <c r="T119" i="1"/>
  <c r="T120" i="1"/>
  <c r="T2" i="1"/>
  <c r="R5" i="1"/>
  <c r="R6" i="1"/>
  <c r="R7" i="1"/>
  <c r="R8" i="1"/>
  <c r="R9" i="1"/>
  <c r="R10" i="1"/>
  <c r="R11" i="1"/>
  <c r="R12" i="1"/>
  <c r="R14" i="1"/>
  <c r="R15" i="1"/>
  <c r="R16" i="1"/>
  <c r="R17" i="1"/>
  <c r="R18" i="1"/>
  <c r="R19" i="1"/>
  <c r="R21" i="1"/>
  <c r="R23" i="1"/>
  <c r="R24" i="1"/>
  <c r="R25" i="1"/>
  <c r="R26" i="1"/>
  <c r="R27" i="1"/>
  <c r="R28" i="1"/>
  <c r="R29" i="1"/>
  <c r="R32" i="1"/>
  <c r="R33" i="1"/>
  <c r="R34" i="1"/>
  <c r="R35" i="1"/>
  <c r="R36" i="1"/>
  <c r="R39" i="1"/>
  <c r="R40" i="1"/>
  <c r="R41" i="1"/>
  <c r="R42" i="1"/>
  <c r="R43" i="1"/>
  <c r="R44" i="1"/>
  <c r="R45" i="1"/>
  <c r="R46" i="1"/>
  <c r="R47" i="1"/>
  <c r="R49" i="1"/>
  <c r="R51" i="1"/>
  <c r="R52" i="1"/>
  <c r="R53" i="1"/>
  <c r="R55" i="1"/>
  <c r="R56" i="1"/>
  <c r="R57" i="1"/>
  <c r="R58" i="1"/>
  <c r="R59" i="1"/>
  <c r="R61" i="1"/>
  <c r="R62" i="1"/>
  <c r="R63" i="1"/>
  <c r="R64" i="1"/>
  <c r="R65" i="1"/>
  <c r="R67" i="1"/>
  <c r="R68" i="1"/>
  <c r="R69" i="1"/>
  <c r="R70" i="1"/>
  <c r="R72" i="1"/>
  <c r="R74" i="1"/>
  <c r="R75" i="1"/>
  <c r="R77" i="1"/>
  <c r="R79" i="1"/>
  <c r="R80" i="1"/>
  <c r="R81" i="1"/>
  <c r="R83" i="1"/>
  <c r="R84" i="1"/>
  <c r="R85" i="1"/>
  <c r="R86" i="1"/>
  <c r="R87" i="1"/>
  <c r="R88" i="1"/>
  <c r="R89" i="1"/>
  <c r="R90" i="1"/>
  <c r="R92" i="1"/>
  <c r="R93" i="1"/>
  <c r="R94" i="1"/>
  <c r="R95" i="1"/>
  <c r="R96" i="1"/>
  <c r="R97" i="1"/>
  <c r="R98" i="1"/>
  <c r="R99" i="1"/>
  <c r="R100" i="1"/>
  <c r="R101" i="1"/>
  <c r="R103" i="1"/>
  <c r="R104" i="1"/>
  <c r="R105" i="1"/>
  <c r="R107" i="1"/>
  <c r="R108" i="1"/>
  <c r="R110" i="1"/>
  <c r="R111" i="1"/>
  <c r="R112" i="1"/>
  <c r="R113" i="1"/>
  <c r="R114" i="1"/>
  <c r="R115" i="1"/>
  <c r="R117" i="1"/>
  <c r="R118" i="1"/>
  <c r="R119" i="1"/>
  <c r="R120" i="1"/>
  <c r="R2" i="1"/>
  <c r="R3" i="1"/>
  <c r="P5" i="1"/>
  <c r="P6" i="1"/>
  <c r="P7" i="1"/>
  <c r="P8" i="1"/>
  <c r="P9" i="1"/>
  <c r="P10" i="1"/>
  <c r="P11" i="1"/>
  <c r="P12" i="1"/>
  <c r="P14" i="1"/>
  <c r="P15" i="1"/>
  <c r="P16" i="1"/>
  <c r="P17" i="1"/>
  <c r="P18" i="1"/>
  <c r="P19" i="1"/>
  <c r="P21" i="1"/>
  <c r="P23" i="1"/>
  <c r="P24" i="1"/>
  <c r="P25" i="1"/>
  <c r="P26" i="1"/>
  <c r="P27" i="1"/>
  <c r="P28" i="1"/>
  <c r="P29" i="1"/>
  <c r="P32" i="1"/>
  <c r="P33" i="1"/>
  <c r="P34" i="1"/>
  <c r="P35" i="1"/>
  <c r="P36" i="1"/>
  <c r="P39" i="1"/>
  <c r="P40" i="1"/>
  <c r="P41" i="1"/>
  <c r="P42" i="1"/>
  <c r="P43" i="1"/>
  <c r="P44" i="1"/>
  <c r="P45" i="1"/>
  <c r="P46" i="1"/>
  <c r="P47" i="1"/>
  <c r="P49" i="1"/>
  <c r="P51" i="1"/>
  <c r="P52" i="1"/>
  <c r="P53" i="1"/>
  <c r="P55" i="1"/>
  <c r="P56" i="1"/>
  <c r="P57" i="1"/>
  <c r="P58" i="1"/>
  <c r="P59" i="1"/>
  <c r="P61" i="1"/>
  <c r="P62" i="1"/>
  <c r="P63" i="1"/>
  <c r="P64" i="1"/>
  <c r="P65" i="1"/>
  <c r="P67" i="1"/>
  <c r="P68" i="1"/>
  <c r="P69" i="1"/>
  <c r="P70" i="1"/>
  <c r="P72" i="1"/>
  <c r="P74" i="1"/>
  <c r="P75" i="1"/>
  <c r="P77" i="1"/>
  <c r="P79" i="1"/>
  <c r="P80" i="1"/>
  <c r="P81" i="1"/>
  <c r="P83" i="1"/>
  <c r="P84" i="1"/>
  <c r="P85" i="1"/>
  <c r="P86" i="1"/>
  <c r="P87" i="1"/>
  <c r="P88" i="1"/>
  <c r="P89" i="1"/>
  <c r="P90" i="1"/>
  <c r="P92" i="1"/>
  <c r="P93" i="1"/>
  <c r="P94" i="1"/>
  <c r="P95" i="1"/>
  <c r="P96" i="1"/>
  <c r="P97" i="1"/>
  <c r="P98" i="1"/>
  <c r="P99" i="1"/>
  <c r="P100" i="1"/>
  <c r="P101" i="1"/>
  <c r="P103" i="1"/>
  <c r="P104" i="1"/>
  <c r="P105" i="1"/>
  <c r="P107" i="1"/>
  <c r="P108" i="1"/>
  <c r="P110" i="1"/>
  <c r="P111" i="1"/>
  <c r="P112" i="1"/>
  <c r="P113" i="1"/>
  <c r="P114" i="1"/>
  <c r="P115" i="1"/>
  <c r="P117" i="1"/>
  <c r="P118" i="1"/>
  <c r="P119" i="1"/>
  <c r="P120" i="1"/>
  <c r="P2" i="1"/>
  <c r="P3" i="1"/>
  <c r="N5" i="1"/>
  <c r="N6" i="1"/>
  <c r="N7" i="1"/>
  <c r="N8" i="1"/>
  <c r="N9" i="1"/>
  <c r="N10" i="1"/>
  <c r="N11" i="1"/>
  <c r="N12" i="1"/>
  <c r="N14" i="1"/>
  <c r="N15" i="1"/>
  <c r="N16" i="1"/>
  <c r="N17" i="1"/>
  <c r="N18" i="1"/>
  <c r="N19" i="1"/>
  <c r="N21" i="1"/>
  <c r="N23" i="1"/>
  <c r="N24" i="1"/>
  <c r="N25" i="1"/>
  <c r="N26" i="1"/>
  <c r="N27" i="1"/>
  <c r="N28" i="1"/>
  <c r="N29" i="1"/>
  <c r="N32" i="1"/>
  <c r="N33" i="1"/>
  <c r="N34" i="1"/>
  <c r="N35" i="1"/>
  <c r="N36" i="1"/>
  <c r="N39" i="1"/>
  <c r="N40" i="1"/>
  <c r="N41" i="1"/>
  <c r="N42" i="1"/>
  <c r="N43" i="1"/>
  <c r="N44" i="1"/>
  <c r="N45" i="1"/>
  <c r="N46" i="1"/>
  <c r="N47" i="1"/>
  <c r="N49" i="1"/>
  <c r="N51" i="1"/>
  <c r="N52" i="1"/>
  <c r="N53" i="1"/>
  <c r="N55" i="1"/>
  <c r="N56" i="1"/>
  <c r="N57" i="1"/>
  <c r="N58" i="1"/>
  <c r="N59" i="1"/>
  <c r="N61" i="1"/>
  <c r="N62" i="1"/>
  <c r="N63" i="1"/>
  <c r="N64" i="1"/>
  <c r="N65" i="1"/>
  <c r="N67" i="1"/>
  <c r="N68" i="1"/>
  <c r="N69" i="1"/>
  <c r="N70" i="1"/>
  <c r="N72" i="1"/>
  <c r="N74" i="1"/>
  <c r="N75" i="1"/>
  <c r="N77" i="1"/>
  <c r="N79" i="1"/>
  <c r="N80" i="1"/>
  <c r="N81" i="1"/>
  <c r="N83" i="1"/>
  <c r="N84" i="1"/>
  <c r="N85" i="1"/>
  <c r="N86" i="1"/>
  <c r="N87" i="1"/>
  <c r="N88" i="1"/>
  <c r="N89" i="1"/>
  <c r="N90" i="1"/>
  <c r="N92" i="1"/>
  <c r="N93" i="1"/>
  <c r="N94" i="1"/>
  <c r="N95" i="1"/>
  <c r="N96" i="1"/>
  <c r="N97" i="1"/>
  <c r="N98" i="1"/>
  <c r="N99" i="1"/>
  <c r="N100" i="1"/>
  <c r="N101" i="1"/>
  <c r="N103" i="1"/>
  <c r="N104" i="1"/>
  <c r="N105" i="1"/>
  <c r="N107" i="1"/>
  <c r="N108" i="1"/>
  <c r="N110" i="1"/>
  <c r="N111" i="1"/>
  <c r="N112" i="1"/>
  <c r="N113" i="1"/>
  <c r="N114" i="1"/>
  <c r="N115" i="1"/>
  <c r="N117" i="1"/>
  <c r="N118" i="1"/>
  <c r="N119" i="1"/>
  <c r="N120" i="1"/>
  <c r="N2" i="1"/>
  <c r="L14" i="1"/>
  <c r="L15" i="1"/>
  <c r="L16" i="1"/>
  <c r="L17" i="1"/>
  <c r="L18" i="1"/>
  <c r="L19" i="1"/>
  <c r="L21" i="1"/>
  <c r="L23" i="1"/>
  <c r="L24" i="1"/>
  <c r="L25" i="1"/>
  <c r="L26" i="1"/>
  <c r="L27" i="1"/>
  <c r="L28" i="1"/>
  <c r="L29" i="1"/>
  <c r="L32" i="1"/>
  <c r="L33" i="1"/>
  <c r="L34" i="1"/>
  <c r="L35" i="1"/>
  <c r="L36" i="1"/>
  <c r="L39" i="1"/>
  <c r="L40" i="1"/>
  <c r="L41" i="1"/>
  <c r="L42" i="1"/>
  <c r="L43" i="1"/>
  <c r="L44" i="1"/>
  <c r="L45" i="1"/>
  <c r="L46" i="1"/>
  <c r="L47" i="1"/>
  <c r="L49" i="1"/>
  <c r="L51" i="1"/>
  <c r="L52" i="1"/>
  <c r="L53" i="1"/>
  <c r="L55" i="1"/>
  <c r="L56" i="1"/>
  <c r="L57" i="1"/>
  <c r="L58" i="1"/>
  <c r="L59" i="1"/>
  <c r="L61" i="1"/>
  <c r="L62" i="1"/>
  <c r="L63" i="1"/>
  <c r="L64" i="1"/>
  <c r="L65" i="1"/>
  <c r="L67" i="1"/>
  <c r="L68" i="1"/>
  <c r="L69" i="1"/>
  <c r="L70" i="1"/>
  <c r="L72" i="1"/>
  <c r="L74" i="1"/>
  <c r="L75" i="1"/>
  <c r="L77" i="1"/>
  <c r="L79" i="1"/>
  <c r="L80" i="1"/>
  <c r="L81" i="1"/>
  <c r="L83" i="1"/>
  <c r="L84" i="1"/>
  <c r="L85" i="1"/>
  <c r="L86" i="1"/>
  <c r="L87" i="1"/>
  <c r="L88" i="1"/>
  <c r="L89" i="1"/>
  <c r="L90" i="1"/>
  <c r="L92" i="1"/>
  <c r="L93" i="1"/>
  <c r="L94" i="1"/>
  <c r="L95" i="1"/>
  <c r="L96" i="1"/>
  <c r="L97" i="1"/>
  <c r="L98" i="1"/>
  <c r="L99" i="1"/>
  <c r="L100" i="1"/>
  <c r="L101" i="1"/>
  <c r="L103" i="1"/>
  <c r="L104" i="1"/>
  <c r="L105" i="1"/>
  <c r="L107" i="1"/>
  <c r="L108" i="1"/>
  <c r="L110" i="1"/>
  <c r="L111" i="1"/>
  <c r="L112" i="1"/>
  <c r="L113" i="1"/>
  <c r="L114" i="1"/>
  <c r="L115" i="1"/>
  <c r="L117" i="1"/>
  <c r="L118" i="1"/>
  <c r="L119" i="1"/>
  <c r="L120" i="1"/>
  <c r="L2" i="1"/>
  <c r="L3" i="1"/>
  <c r="L5" i="1"/>
  <c r="L6" i="1"/>
  <c r="L7" i="1"/>
  <c r="L8" i="1"/>
  <c r="L9" i="1"/>
  <c r="L10" i="1"/>
  <c r="L11" i="1"/>
  <c r="L12" i="1"/>
  <c r="J5" i="1"/>
  <c r="J6" i="1"/>
  <c r="J7" i="1"/>
  <c r="J8" i="1"/>
  <c r="J9" i="1"/>
  <c r="J10" i="1"/>
  <c r="J11" i="1"/>
  <c r="J12" i="1"/>
  <c r="J14" i="1"/>
  <c r="J15" i="1"/>
  <c r="J16" i="1"/>
  <c r="J17" i="1"/>
  <c r="J18" i="1"/>
  <c r="J19" i="1"/>
  <c r="J21" i="1"/>
  <c r="J23" i="1"/>
  <c r="J24" i="1"/>
  <c r="J25" i="1"/>
  <c r="J26" i="1"/>
  <c r="J27" i="1"/>
  <c r="J28" i="1"/>
  <c r="J29" i="1"/>
  <c r="J32" i="1"/>
  <c r="J33" i="1"/>
  <c r="J34" i="1"/>
  <c r="J35" i="1"/>
  <c r="J36" i="1"/>
  <c r="J39" i="1"/>
  <c r="J40" i="1"/>
  <c r="J41" i="1"/>
  <c r="J42" i="1"/>
  <c r="J43" i="1"/>
  <c r="J44" i="1"/>
  <c r="J45" i="1"/>
  <c r="J46" i="1"/>
  <c r="J47" i="1"/>
  <c r="J49" i="1"/>
  <c r="J51" i="1"/>
  <c r="J52" i="1"/>
  <c r="J53" i="1"/>
  <c r="J55" i="1"/>
  <c r="J56" i="1"/>
  <c r="J57" i="1"/>
  <c r="J58" i="1"/>
  <c r="J59" i="1"/>
  <c r="J61" i="1"/>
  <c r="J62" i="1"/>
  <c r="J63" i="1"/>
  <c r="J64" i="1"/>
  <c r="J65" i="1"/>
  <c r="J67" i="1"/>
  <c r="J68" i="1"/>
  <c r="J69" i="1"/>
  <c r="J70" i="1"/>
  <c r="J72" i="1"/>
  <c r="J74" i="1"/>
  <c r="J75" i="1"/>
  <c r="J77" i="1"/>
  <c r="J79" i="1"/>
  <c r="J80" i="1"/>
  <c r="J81" i="1"/>
  <c r="J83" i="1"/>
  <c r="J84" i="1"/>
  <c r="J85" i="1"/>
  <c r="J86" i="1"/>
  <c r="J87" i="1"/>
  <c r="J88" i="1"/>
  <c r="J89" i="1"/>
  <c r="J90" i="1"/>
  <c r="J92" i="1"/>
  <c r="J93" i="1"/>
  <c r="J94" i="1"/>
  <c r="J95" i="1"/>
  <c r="J96" i="1"/>
  <c r="J97" i="1"/>
  <c r="J98" i="1"/>
  <c r="J99" i="1"/>
  <c r="J100" i="1"/>
  <c r="J101" i="1"/>
  <c r="J103" i="1"/>
  <c r="J104" i="1"/>
  <c r="J105" i="1"/>
  <c r="J107" i="1"/>
  <c r="J108" i="1"/>
  <c r="J110" i="1"/>
  <c r="J111" i="1"/>
  <c r="J112" i="1"/>
  <c r="J113" i="1"/>
  <c r="J114" i="1"/>
  <c r="J115" i="1"/>
  <c r="J117" i="1"/>
  <c r="J118" i="1"/>
  <c r="J119" i="1"/>
  <c r="J120" i="1"/>
  <c r="J2" i="1"/>
  <c r="H5" i="1"/>
  <c r="H6" i="1"/>
  <c r="H7" i="1"/>
  <c r="H8" i="1"/>
  <c r="H9" i="1"/>
  <c r="H10" i="1"/>
  <c r="H11" i="1"/>
  <c r="H12" i="1"/>
  <c r="H14" i="1"/>
  <c r="H15" i="1"/>
  <c r="H16" i="1"/>
  <c r="H17" i="1"/>
  <c r="H18" i="1"/>
  <c r="H19" i="1"/>
  <c r="H21" i="1"/>
  <c r="H23" i="1"/>
  <c r="H24" i="1"/>
  <c r="H25" i="1"/>
  <c r="H26" i="1"/>
  <c r="H27" i="1"/>
  <c r="H28" i="1"/>
  <c r="H29" i="1"/>
  <c r="H32" i="1"/>
  <c r="H33" i="1"/>
  <c r="H34" i="1"/>
  <c r="H35" i="1"/>
  <c r="H36" i="1"/>
  <c r="H39" i="1"/>
  <c r="H40" i="1"/>
  <c r="H41" i="1"/>
  <c r="H42" i="1"/>
  <c r="H43" i="1"/>
  <c r="H44" i="1"/>
  <c r="H45" i="1"/>
  <c r="H46" i="1"/>
  <c r="H47" i="1"/>
  <c r="H49" i="1"/>
  <c r="H51" i="1"/>
  <c r="H52" i="1"/>
  <c r="H53" i="1"/>
  <c r="H55" i="1"/>
  <c r="H56" i="1"/>
  <c r="H57" i="1"/>
  <c r="H58" i="1"/>
  <c r="H59" i="1"/>
  <c r="H61" i="1"/>
  <c r="H62" i="1"/>
  <c r="H63" i="1"/>
  <c r="H64" i="1"/>
  <c r="H65" i="1"/>
  <c r="H67" i="1"/>
  <c r="H68" i="1"/>
  <c r="H69" i="1"/>
  <c r="H70" i="1"/>
  <c r="H72" i="1"/>
  <c r="H74" i="1"/>
  <c r="H75" i="1"/>
  <c r="H77" i="1"/>
  <c r="H79" i="1"/>
  <c r="H80" i="1"/>
  <c r="H81" i="1"/>
  <c r="H83" i="1"/>
  <c r="H84" i="1"/>
  <c r="H85" i="1"/>
  <c r="H86" i="1"/>
  <c r="H87" i="1"/>
  <c r="H88" i="1"/>
  <c r="H89" i="1"/>
  <c r="H90" i="1"/>
  <c r="H92" i="1"/>
  <c r="H93" i="1"/>
  <c r="H94" i="1"/>
  <c r="H95" i="1"/>
  <c r="H96" i="1"/>
  <c r="H97" i="1"/>
  <c r="H98" i="1"/>
  <c r="H99" i="1"/>
  <c r="H100" i="1"/>
  <c r="H101" i="1"/>
  <c r="H103" i="1"/>
  <c r="H104" i="1"/>
  <c r="H105" i="1"/>
  <c r="H107" i="1"/>
  <c r="H108" i="1"/>
  <c r="H110" i="1"/>
  <c r="H111" i="1"/>
  <c r="H112" i="1"/>
  <c r="H113" i="1"/>
  <c r="H114" i="1"/>
  <c r="H115" i="1"/>
  <c r="H117" i="1"/>
  <c r="H118" i="1"/>
  <c r="H119" i="1"/>
  <c r="H120" i="1"/>
  <c r="H2" i="1"/>
  <c r="H3" i="1"/>
  <c r="F5" i="1"/>
  <c r="F6" i="1"/>
  <c r="F7" i="1"/>
  <c r="F8" i="1"/>
  <c r="F9" i="1"/>
  <c r="F10" i="1"/>
  <c r="F11" i="1"/>
  <c r="F14" i="1"/>
  <c r="F15" i="1"/>
  <c r="F16" i="1"/>
  <c r="F17" i="1"/>
  <c r="F18" i="1"/>
  <c r="F19" i="1"/>
  <c r="F21" i="1"/>
  <c r="F23" i="1"/>
  <c r="F24" i="1"/>
  <c r="F25" i="1"/>
  <c r="F26" i="1"/>
  <c r="F27" i="1"/>
  <c r="F28" i="1"/>
  <c r="F29" i="1"/>
  <c r="F32" i="1"/>
  <c r="F33" i="1"/>
  <c r="F34" i="1"/>
  <c r="F35" i="1"/>
  <c r="F36" i="1"/>
  <c r="F39" i="1"/>
  <c r="F40" i="1"/>
  <c r="F41" i="1"/>
  <c r="F42" i="1"/>
  <c r="F43" i="1"/>
  <c r="F44" i="1"/>
  <c r="F45" i="1"/>
  <c r="F46" i="1"/>
  <c r="F47" i="1"/>
  <c r="F49" i="1"/>
  <c r="F51" i="1"/>
  <c r="F52" i="1"/>
  <c r="F53" i="1"/>
  <c r="F55" i="1"/>
  <c r="F56" i="1"/>
  <c r="F57" i="1"/>
  <c r="F58" i="1"/>
  <c r="F59" i="1"/>
  <c r="F61" i="1"/>
  <c r="F62" i="1"/>
  <c r="F63" i="1"/>
  <c r="F64" i="1"/>
  <c r="F65" i="1"/>
  <c r="F67" i="1"/>
  <c r="F68" i="1"/>
  <c r="F69" i="1"/>
  <c r="F70" i="1"/>
  <c r="F72" i="1"/>
  <c r="F74" i="1"/>
  <c r="F75" i="1"/>
  <c r="F77" i="1"/>
  <c r="F79" i="1"/>
  <c r="F80" i="1"/>
  <c r="F81" i="1"/>
  <c r="F83" i="1"/>
  <c r="F84" i="1"/>
  <c r="F85" i="1"/>
  <c r="F86" i="1"/>
  <c r="F87" i="1"/>
  <c r="F88" i="1"/>
  <c r="F89" i="1"/>
  <c r="F90" i="1"/>
  <c r="F92" i="1"/>
  <c r="F93" i="1"/>
  <c r="F94" i="1"/>
  <c r="F95" i="1"/>
  <c r="F96" i="1"/>
  <c r="F97" i="1"/>
  <c r="F98" i="1"/>
  <c r="F99" i="1"/>
  <c r="F100" i="1"/>
  <c r="F101" i="1"/>
  <c r="F103" i="1"/>
  <c r="F104" i="1"/>
  <c r="F105" i="1"/>
  <c r="F107" i="1"/>
  <c r="F108" i="1"/>
  <c r="F110" i="1"/>
  <c r="F111" i="1"/>
  <c r="F112" i="1"/>
  <c r="F113" i="1"/>
  <c r="F114" i="1"/>
  <c r="F115" i="1"/>
  <c r="F117" i="1"/>
  <c r="F118" i="1"/>
  <c r="F119" i="1"/>
  <c r="F120" i="1"/>
  <c r="F3" i="1"/>
  <c r="AD55" i="1" l="1"/>
  <c r="AB29" i="1"/>
  <c r="Z55" i="1"/>
  <c r="V3" i="1"/>
  <c r="T3" i="1"/>
  <c r="N3" i="1"/>
  <c r="J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Altec</author>
  </authors>
  <commentList>
    <comment ref="C3" authorId="0" shapeId="0" xr:uid="{00000000-0006-0000-0000-000001000000}">
      <text>
        <r>
          <rPr>
            <b/>
            <sz val="9"/>
            <color indexed="81"/>
            <rFont val="Segoe UI"/>
            <family val="2"/>
          </rPr>
          <t>Altec:</t>
        </r>
        <r>
          <rPr>
            <sz val="9"/>
            <color indexed="81"/>
            <rFont val="Segoe UI"/>
            <family val="2"/>
          </rPr>
          <t xml:space="preserve">
Fazer NR1</t>
        </r>
      </text>
    </comment>
    <comment ref="E3" authorId="0" shapeId="0" xr:uid="{00000000-0006-0000-0000-000002000000}">
      <text>
        <r>
          <rPr>
            <b/>
            <sz val="9"/>
            <color indexed="81"/>
            <rFont val="Segoe UI"/>
            <family val="2"/>
          </rPr>
          <t>Altec:</t>
        </r>
        <r>
          <rPr>
            <sz val="9"/>
            <color indexed="81"/>
            <rFont val="Segoe UI"/>
            <family val="2"/>
          </rPr>
          <t xml:space="preserve">
Fazer NR1</t>
        </r>
      </text>
    </comment>
  </commentList>
</comments>
</file>

<file path=xl/sharedStrings.xml><?xml version="1.0" encoding="utf-8"?>
<sst xmlns="http://schemas.openxmlformats.org/spreadsheetml/2006/main" count="269" uniqueCount="229">
  <si>
    <t>NOME</t>
  </si>
  <si>
    <t>Alcimar Jose dos Santos Tostes</t>
  </si>
  <si>
    <t>Aldair Jose Celestino Pedro</t>
  </si>
  <si>
    <t>Anderson Silva Muniz</t>
  </si>
  <si>
    <t>Adelson Moreira Marini</t>
  </si>
  <si>
    <t>Função</t>
  </si>
  <si>
    <t>Caldeireiro</t>
  </si>
  <si>
    <t>Pedreiro</t>
  </si>
  <si>
    <t>Encarregado de Elétrica</t>
  </si>
  <si>
    <t>Carlos Eduardo Moura da Silva</t>
  </si>
  <si>
    <t>Mecânico</t>
  </si>
  <si>
    <t>Cauã dos Santos Silva Abreu</t>
  </si>
  <si>
    <t>Cezar Lima Miguel</t>
  </si>
  <si>
    <t>Encarregado de Montagem</t>
  </si>
  <si>
    <t>Douglas da Silva Coelho</t>
  </si>
  <si>
    <t>David Mattos Bittencourt</t>
  </si>
  <si>
    <t>Diones Prudêncio da Silva</t>
  </si>
  <si>
    <t>Soldador VII</t>
  </si>
  <si>
    <t>Servente de Obra</t>
  </si>
  <si>
    <t>Fabricio da Silva Antônio</t>
  </si>
  <si>
    <t>Caldeireiro VI</t>
  </si>
  <si>
    <t>Fabricio Carvalho Ferreira</t>
  </si>
  <si>
    <t>Giovani Muniz</t>
  </si>
  <si>
    <t>Motorista Operador de Munck</t>
  </si>
  <si>
    <t>Técnico em Segurança do Trabalho</t>
  </si>
  <si>
    <t>Herkton Diniz dos Santos</t>
  </si>
  <si>
    <t>Gabriel Correa dos Santos de Jesus</t>
  </si>
  <si>
    <t xml:space="preserve">Soldador </t>
  </si>
  <si>
    <t>Eletricista</t>
  </si>
  <si>
    <t>Jeann da Silva Reis</t>
  </si>
  <si>
    <t>Montador</t>
  </si>
  <si>
    <t>Josias Crispim Santos</t>
  </si>
  <si>
    <t>Lucas Rocha Meza</t>
  </si>
  <si>
    <t>Luan Eugênio Da Silva</t>
  </si>
  <si>
    <t>Marconi Pinto Stroligo</t>
  </si>
  <si>
    <t>Marcos Antônio Soares Sabino</t>
  </si>
  <si>
    <t>Soldador IV</t>
  </si>
  <si>
    <t>Soldador</t>
  </si>
  <si>
    <t>Matheus Carvalho Alvim</t>
  </si>
  <si>
    <t>Michel Miguel</t>
  </si>
  <si>
    <t>Sodador</t>
  </si>
  <si>
    <t>Miguel Arcanjo de Aguiar Antonio</t>
  </si>
  <si>
    <t>Moisés Garcia Ecard</t>
  </si>
  <si>
    <t>Odair José Da Silva Rocha</t>
  </si>
  <si>
    <t>Ajudante de Pintura IV</t>
  </si>
  <si>
    <t>Supervisor de manutenção industrial</t>
  </si>
  <si>
    <t>Procopio de Souza Pereira</t>
  </si>
  <si>
    <t>Paulo Vitor Barbosa Fortunato</t>
  </si>
  <si>
    <t>Marcos Antonio Santos da Conceição</t>
  </si>
  <si>
    <t>Motorista Operador Munk</t>
  </si>
  <si>
    <t>Rogerio Dias Rodrigues Junior</t>
  </si>
  <si>
    <t>Roniele Ferreira Pinto da Rocha</t>
  </si>
  <si>
    <t>Vanderson dos Santos Araujo</t>
  </si>
  <si>
    <t>Vinicius da Conceição Rodrigues</t>
  </si>
  <si>
    <t>Valtenir Luis Miguel</t>
  </si>
  <si>
    <t>Wesley de Azevedo Barboza</t>
  </si>
  <si>
    <t>Mecanico Montador</t>
  </si>
  <si>
    <t>Wancler Alves Poubel</t>
  </si>
  <si>
    <t>Wellington Silva Guzzo</t>
  </si>
  <si>
    <t>Supervisora de PCP</t>
  </si>
  <si>
    <t>Pintor Industrial</t>
  </si>
  <si>
    <t>Débora Samanta Braz Justo Câmara</t>
  </si>
  <si>
    <t>Encarregado de Mecânico</t>
  </si>
  <si>
    <t xml:space="preserve">Meio Oficial Mecânio </t>
  </si>
  <si>
    <t>Ajudante Montagem (Metal, Mecânica)</t>
  </si>
  <si>
    <t>Meio Oficial Mecanico V</t>
  </si>
  <si>
    <t>Tecnico em Seg do Trabalho</t>
  </si>
  <si>
    <t>João Paulo Huguenin Silveira</t>
  </si>
  <si>
    <t xml:space="preserve">Azul (Viagem) </t>
  </si>
  <si>
    <t>Vermelho ( Atualizar)</t>
  </si>
  <si>
    <t>Amarelo ( Jovem Aprendiz)</t>
  </si>
  <si>
    <t>Alexandre Juvêncio Conceição</t>
  </si>
  <si>
    <t>Mecânico Montador</t>
  </si>
  <si>
    <t>MECANICO</t>
  </si>
  <si>
    <t>NR06 EMISS.</t>
  </si>
  <si>
    <t>NR06 VENC.</t>
  </si>
  <si>
    <t>NR10 VENC.</t>
  </si>
  <si>
    <t>NR12 EMISS.</t>
  </si>
  <si>
    <t>NR12 VENC.</t>
  </si>
  <si>
    <t>NR10 EMISS.</t>
  </si>
  <si>
    <t>NR33 EMISS.</t>
  </si>
  <si>
    <t>NR33 VENC.</t>
  </si>
  <si>
    <t>NR34 EMISS.</t>
  </si>
  <si>
    <t>NR34 VENC.</t>
  </si>
  <si>
    <t>NR35 EMISS.</t>
  </si>
  <si>
    <t>NR35 VENC.</t>
  </si>
  <si>
    <t>PTA EMISS.</t>
  </si>
  <si>
    <t>PTA VENC.</t>
  </si>
  <si>
    <t>MUNCK EMISS.</t>
  </si>
  <si>
    <t>MUNCK VENC.</t>
  </si>
  <si>
    <t>PONTE ROL. EMISS.</t>
  </si>
  <si>
    <t>PONTE ROL. VENC.</t>
  </si>
  <si>
    <t>DIR. DEFENSIVA EMISS.</t>
  </si>
  <si>
    <t>DIR. DEFENSIVA VENC.</t>
  </si>
  <si>
    <t>NR01 EMISS.</t>
  </si>
  <si>
    <t>NR01 VENC.</t>
  </si>
  <si>
    <t xml:space="preserve">  </t>
  </si>
  <si>
    <t>João Paulo Corrêa Senhorinho</t>
  </si>
  <si>
    <t>CIPAA</t>
  </si>
  <si>
    <t>Eduardo de Carvalho Ramos</t>
  </si>
  <si>
    <t>1/2 Oficial Mecâncio</t>
  </si>
  <si>
    <t>Valques Ribeiro Gonçalves</t>
  </si>
  <si>
    <t>Ajudante de Mecânico</t>
  </si>
  <si>
    <t>Fabio Luiz Soares Ferreira</t>
  </si>
  <si>
    <t>caldeireiro</t>
  </si>
  <si>
    <t>João Vitor Coelho da Silva Carvalho</t>
  </si>
  <si>
    <t xml:space="preserve">Montador de andaimes </t>
  </si>
  <si>
    <t>NR18 BASICO</t>
  </si>
  <si>
    <t>NR18 BASICO VENC.</t>
  </si>
  <si>
    <t>David da Silva</t>
  </si>
  <si>
    <t>Marcos De Souza Ribeiro</t>
  </si>
  <si>
    <t xml:space="preserve">Meio Oficial Mecânico Montador </t>
  </si>
  <si>
    <t>Luciano dias</t>
  </si>
  <si>
    <t>Meio oficial soldador</t>
  </si>
  <si>
    <t>meio oficial soldador</t>
  </si>
  <si>
    <t>Alan Gomes da Silva</t>
  </si>
  <si>
    <t>Ajudante de soldador</t>
  </si>
  <si>
    <t>Alberto Stefani Alves Pinheiro</t>
  </si>
  <si>
    <t>Almoxarife</t>
  </si>
  <si>
    <t>Alcilenio da Silva Weneck</t>
  </si>
  <si>
    <t>Alex Ribeiro Campos</t>
  </si>
  <si>
    <t>Pintor Jatista</t>
  </si>
  <si>
    <t>Alex Sander dos Santos Victor</t>
  </si>
  <si>
    <t>Ajudante de Pintor</t>
  </si>
  <si>
    <t>Antonio Jose da Silva Lucas</t>
  </si>
  <si>
    <t>Mecânico Industrial VII</t>
  </si>
  <si>
    <t>Antonio Jose da Silveira Cruz</t>
  </si>
  <si>
    <t>Pintor</t>
  </si>
  <si>
    <t>Arthur Cunha Nunes</t>
  </si>
  <si>
    <t>Bruno França Chermout</t>
  </si>
  <si>
    <t>Bruno Henrique Filho</t>
  </si>
  <si>
    <t>Caroline Lannes Medeiros</t>
  </si>
  <si>
    <t>Assistente Administrativo</t>
  </si>
  <si>
    <t>Caua Coelho Pisco</t>
  </si>
  <si>
    <t>Engenheiro mêcanico industrial trainee</t>
  </si>
  <si>
    <t>Caue Coelho Pisco</t>
  </si>
  <si>
    <t>Desenhista auxiliar</t>
  </si>
  <si>
    <t xml:space="preserve">Eduardo da Silva Gomes </t>
  </si>
  <si>
    <t>Supervisor de compras</t>
  </si>
  <si>
    <t>Fabio Augusto Tavares Santos</t>
  </si>
  <si>
    <t>Auxiliar de Midias Sociais</t>
  </si>
  <si>
    <t>Fabricio Rosa Baptista</t>
  </si>
  <si>
    <t>Serralheiro</t>
  </si>
  <si>
    <t>Felipe dos Reis Mattos</t>
  </si>
  <si>
    <t>Felipe Eugenio Luiz da Silva</t>
  </si>
  <si>
    <t>1/2 Oficial de Caldeiraria</t>
  </si>
  <si>
    <t>Filipe marcio Lannes Medeiros</t>
  </si>
  <si>
    <t>Engenheiro de controle e automação</t>
  </si>
  <si>
    <t>Felipe de Souza Brito Araujo</t>
  </si>
  <si>
    <t>Gabriel Brito Fonseca</t>
  </si>
  <si>
    <t>Gabriel Porcino Miguel</t>
  </si>
  <si>
    <t>Torneiro Mecânico</t>
  </si>
  <si>
    <t>Gabriela Melis Viegas Stael</t>
  </si>
  <si>
    <t>Gustavo de Almeida Caetano</t>
  </si>
  <si>
    <t>Haroldo Leonardo Barrada Faria</t>
  </si>
  <si>
    <t>Ajudante de Caldeiraria</t>
  </si>
  <si>
    <t>Hugo Araujo Alves</t>
  </si>
  <si>
    <t>Jessica Cumial de Souza</t>
  </si>
  <si>
    <t>Analista Administrativo</t>
  </si>
  <si>
    <t>Jhonathan Soares de Moura</t>
  </si>
  <si>
    <t>Joana Baia dos Santos</t>
  </si>
  <si>
    <t>João Pedro de Freitas Gomes</t>
  </si>
  <si>
    <t>João Pedro de Paiva Guaralde</t>
  </si>
  <si>
    <t>Comprador</t>
  </si>
  <si>
    <t>Jonas Leandro Marques</t>
  </si>
  <si>
    <t>1/2 ofical Soldador</t>
  </si>
  <si>
    <t>Jozimar de Andrade Silva</t>
  </si>
  <si>
    <t>Lenilson Ikelem Câmara</t>
  </si>
  <si>
    <t>Luiz Felipe Souza Gomes</t>
  </si>
  <si>
    <t>Manoel Lima Lopes</t>
  </si>
  <si>
    <t>Marcello Ferreirinha Feijo</t>
  </si>
  <si>
    <t>Pintor Insutrial</t>
  </si>
  <si>
    <t>Mario Vitor Ladeira Bonafe Fernandes</t>
  </si>
  <si>
    <t>Maykon Vitor Guedes</t>
  </si>
  <si>
    <t>Nicolas Lopes Nicolau</t>
  </si>
  <si>
    <t>Nilton Santos Souza</t>
  </si>
  <si>
    <t>Faxineiro</t>
  </si>
  <si>
    <t>Paulo Roberto Conceição Peixoto</t>
  </si>
  <si>
    <t>Operador de máquina</t>
  </si>
  <si>
    <t>Ramon da Conceição de Souza</t>
  </si>
  <si>
    <t>1/2 ofical Mecânico Montador</t>
  </si>
  <si>
    <t>Rosimar Carvalho Morete</t>
  </si>
  <si>
    <t>Victor Glaciano de Araujo Fernandes</t>
  </si>
  <si>
    <t>Ajudante de Soldador</t>
  </si>
  <si>
    <t>Willians Fortunato Moreth</t>
  </si>
  <si>
    <t>Encarregado de Mcânico</t>
  </si>
  <si>
    <t>Yago Joia Reis</t>
  </si>
  <si>
    <t>1/2 oficla torneiro Mecânico</t>
  </si>
  <si>
    <t>1/2  Oficial Torneiro Mecânico</t>
  </si>
  <si>
    <t>Encarregado de manut. Mec. de sistemas ope</t>
  </si>
  <si>
    <t>MOTOSSERRA</t>
  </si>
  <si>
    <t>Ajudante eletricista</t>
  </si>
  <si>
    <t>Alexandre dos Santos</t>
  </si>
  <si>
    <t>Encarregado de Caldeireria</t>
  </si>
  <si>
    <t>Diego Messias França Chermout</t>
  </si>
  <si>
    <t>Philipe Santos da Silva</t>
  </si>
  <si>
    <t>Jean Bonifacio da Rocha</t>
  </si>
  <si>
    <t>Josenilton Jesus dos Santos</t>
  </si>
  <si>
    <t>Gabriel Carvalho Almeida</t>
  </si>
  <si>
    <t>Juan Oliveira Antonio</t>
  </si>
  <si>
    <t>Ualame Antonio Cortat</t>
  </si>
  <si>
    <t>BRIGADISTA NR23</t>
  </si>
  <si>
    <t xml:space="preserve">Gabriel Alves de Oliveira </t>
  </si>
  <si>
    <t>Carlos Manoel Mariano Costa</t>
  </si>
  <si>
    <t>Auxiliar de engenharia</t>
  </si>
  <si>
    <t>Operador de empilhadeira</t>
  </si>
  <si>
    <t>Diego Leandro Ribeiro</t>
  </si>
  <si>
    <t>Supervisor de produção</t>
  </si>
  <si>
    <t>luiz Felipe dos Santos Barrias</t>
  </si>
  <si>
    <t>engenheiro de mecatrônica trainee</t>
  </si>
  <si>
    <t>Elias Crispim Santos</t>
  </si>
  <si>
    <t xml:space="preserve"> ELETRICISTA </t>
  </si>
  <si>
    <t>ajudante de soldador</t>
  </si>
  <si>
    <t>Jhonny Anderson Do Nascimento Fernandes de Moura</t>
  </si>
  <si>
    <t>ELIAS RIBEIRO DA SILVA</t>
  </si>
  <si>
    <t>Porteiro</t>
  </si>
  <si>
    <t>João Pedro Santos Marques</t>
  </si>
  <si>
    <t>Carlos Daniel Anastacio Pinheiro</t>
  </si>
  <si>
    <t>Ajudante de Montagem</t>
  </si>
  <si>
    <t>Wendel Tavares Mauricio</t>
  </si>
  <si>
    <t>1/2 Oficial Mecânico</t>
  </si>
  <si>
    <t>Ronaldo Oliveira da Conceição</t>
  </si>
  <si>
    <t>Operador de Caminhão Munck</t>
  </si>
  <si>
    <t>Ailton Costa Martins</t>
  </si>
  <si>
    <t>Gabriel Neves Araujo</t>
  </si>
  <si>
    <t>Projetista Industrial</t>
  </si>
  <si>
    <t>FDS: FICHA DE DADOS DE SEG.</t>
  </si>
  <si>
    <t>Mateus da Silva Ferreira</t>
  </si>
  <si>
    <t>Liecir dos Santos Pereira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</si>
</sst>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4"/>
      <color rgb="FF00B0F0"/>
      <name val="Calibri"/>
      <family val="2"/>
      <scheme val="minor"/>
    </font>
    <font>
      <sz val="14"/>
      <color rgb="FF00B0F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14" fontId="0" fillId="0" borderId="0" xfId="0" applyNumberFormat="1"/>
    <xf numFmtId="0" fontId="3" fillId="0" borderId="0" xfId="0" applyFont="1" applyAlignment="1">
      <alignment horizontal="center"/>
    </xf>
    <xf numFmtId="0" fontId="4" fillId="0" borderId="0" xfId="0" applyFont="1"/>
    <xf numFmtId="14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left" vertical="center"/>
    </xf>
    <xf numFmtId="0" fontId="0" fillId="5" borderId="1" xfId="0" applyFill="1" applyBorder="1" applyAlignment="1">
      <alignment horizontal="left" vertical="center"/>
    </xf>
    <xf numFmtId="0" fontId="3" fillId="0" borderId="0" xfId="0" applyFont="1" applyAlignment="1">
      <alignment horizontal="left"/>
    </xf>
    <xf numFmtId="14" fontId="0" fillId="0" borderId="1" xfId="0" applyNumberFormat="1" applyBorder="1"/>
    <xf numFmtId="0" fontId="0" fillId="3" borderId="1" xfId="0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/>
    </xf>
    <xf numFmtId="0" fontId="3" fillId="0" borderId="0" xfId="0" applyFont="1"/>
    <xf numFmtId="0" fontId="0" fillId="0" borderId="1" xfId="0" applyBorder="1"/>
    <xf numFmtId="14" fontId="0" fillId="4" borderId="1" xfId="0" applyNumberFormat="1" applyFill="1" applyBorder="1"/>
    <xf numFmtId="0" fontId="0" fillId="4" borderId="0" xfId="0" applyFill="1"/>
    <xf numFmtId="14" fontId="0" fillId="6" borderId="1" xfId="0" applyNumberFormat="1" applyFill="1" applyBorder="1"/>
    <xf numFmtId="0" fontId="0" fillId="6" borderId="1" xfId="0" applyFill="1" applyBorder="1" applyAlignment="1">
      <alignment horizontal="left" vertical="center"/>
    </xf>
    <xf numFmtId="0" fontId="0" fillId="6" borderId="0" xfId="0" applyFill="1"/>
    <xf numFmtId="0" fontId="6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wrapText="1"/>
    </xf>
  </cellXfs>
  <cellStyles count="1">
    <cellStyle name="Normal" xfId="0" builtinId="0"/>
  </cellStyles>
  <dxfs count="6"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29"/>
  <sheetViews>
    <sheetView tabSelected="1" topLeftCell="Z1" zoomScaleNormal="100" workbookViewId="0">
      <pane ySplit="1" topLeftCell="A2" activePane="bottomLeft" state="frozen"/>
      <selection pane="bottomLeft" activeCell="AC104" sqref="AC104"/>
    </sheetView>
  </sheetViews>
  <sheetFormatPr defaultRowHeight="14.25" x14ac:dyDescent="0.45"/>
  <cols>
    <col min="1" max="1" width="41.265625" bestFit="1" customWidth="1"/>
    <col min="2" max="2" width="43" bestFit="1" customWidth="1"/>
    <col min="3" max="3" width="25.73046875" customWidth="1"/>
    <col min="4" max="4" width="25.59765625" customWidth="1"/>
    <col min="5" max="5" width="22.59765625" customWidth="1"/>
    <col min="6" max="6" width="19.73046875" bestFit="1" customWidth="1"/>
    <col min="7" max="7" width="20.59765625" bestFit="1" customWidth="1"/>
    <col min="8" max="8" width="19.73046875" bestFit="1" customWidth="1"/>
    <col min="9" max="9" width="20.59765625" bestFit="1" customWidth="1"/>
    <col min="10" max="10" width="19.73046875" bestFit="1" customWidth="1"/>
    <col min="11" max="11" width="20.59765625" bestFit="1" customWidth="1"/>
    <col min="12" max="12" width="19.73046875" bestFit="1" customWidth="1"/>
    <col min="13" max="13" width="20.59765625" bestFit="1" customWidth="1"/>
    <col min="14" max="14" width="19.59765625" customWidth="1"/>
    <col min="15" max="15" width="20.59765625" bestFit="1" customWidth="1"/>
    <col min="16" max="16" width="19.73046875" bestFit="1" customWidth="1"/>
    <col min="17" max="17" width="20.59765625" bestFit="1" customWidth="1"/>
    <col min="18" max="18" width="19.73046875" bestFit="1" customWidth="1"/>
    <col min="19" max="19" width="20.59765625" bestFit="1" customWidth="1"/>
    <col min="20" max="20" width="19.73046875" bestFit="1" customWidth="1"/>
    <col min="21" max="21" width="18.73046875" bestFit="1" customWidth="1"/>
    <col min="22" max="22" width="17.73046875" bestFit="1" customWidth="1"/>
    <col min="23" max="24" width="17.73046875" customWidth="1"/>
    <col min="25" max="25" width="21" bestFit="1" customWidth="1"/>
    <col min="26" max="26" width="20.1328125" bestFit="1" customWidth="1"/>
    <col min="27" max="27" width="25.86328125" bestFit="1" customWidth="1"/>
    <col min="28" max="28" width="25" bestFit="1" customWidth="1"/>
    <col min="29" max="29" width="32.73046875" bestFit="1" customWidth="1"/>
    <col min="30" max="30" width="27.265625" bestFit="1" customWidth="1"/>
    <col min="31" max="31" width="10.73046875" bestFit="1" customWidth="1"/>
    <col min="32" max="32" width="16.3984375" customWidth="1"/>
  </cols>
  <sheetData>
    <row r="1" spans="1:32" s="3" customFormat="1" ht="32.25" customHeight="1" x14ac:dyDescent="0.55000000000000004">
      <c r="A1" s="2" t="s">
        <v>0</v>
      </c>
      <c r="B1" s="2" t="s">
        <v>5</v>
      </c>
      <c r="C1" s="23" t="s">
        <v>226</v>
      </c>
      <c r="D1" s="23" t="s">
        <v>226</v>
      </c>
      <c r="E1" s="2" t="s">
        <v>94</v>
      </c>
      <c r="F1" s="2" t="s">
        <v>95</v>
      </c>
      <c r="G1" s="2" t="s">
        <v>74</v>
      </c>
      <c r="H1" s="2" t="s">
        <v>75</v>
      </c>
      <c r="I1" s="2" t="s">
        <v>79</v>
      </c>
      <c r="J1" s="2" t="s">
        <v>76</v>
      </c>
      <c r="K1" s="2" t="s">
        <v>77</v>
      </c>
      <c r="L1" s="2" t="s">
        <v>78</v>
      </c>
      <c r="M1" s="2" t="s">
        <v>107</v>
      </c>
      <c r="N1" s="23" t="s">
        <v>108</v>
      </c>
      <c r="O1" s="2" t="s">
        <v>80</v>
      </c>
      <c r="P1" s="2" t="s">
        <v>81</v>
      </c>
      <c r="Q1" s="2" t="s">
        <v>82</v>
      </c>
      <c r="R1" s="2" t="s">
        <v>83</v>
      </c>
      <c r="S1" s="2" t="s">
        <v>84</v>
      </c>
      <c r="T1" s="2" t="s">
        <v>85</v>
      </c>
      <c r="U1" s="2" t="s">
        <v>86</v>
      </c>
      <c r="V1" s="2" t="s">
        <v>87</v>
      </c>
      <c r="W1" s="2" t="s">
        <v>190</v>
      </c>
      <c r="X1" s="2" t="s">
        <v>190</v>
      </c>
      <c r="Y1" s="11" t="s">
        <v>88</v>
      </c>
      <c r="Z1" s="11" t="s">
        <v>89</v>
      </c>
      <c r="AA1" s="11" t="s">
        <v>90</v>
      </c>
      <c r="AB1" s="11" t="s">
        <v>91</v>
      </c>
      <c r="AC1" s="2" t="s">
        <v>92</v>
      </c>
      <c r="AD1" s="2" t="s">
        <v>93</v>
      </c>
      <c r="AE1" s="15" t="s">
        <v>98</v>
      </c>
      <c r="AF1" s="23" t="s">
        <v>201</v>
      </c>
    </row>
    <row r="2" spans="1:32" x14ac:dyDescent="0.45">
      <c r="A2" s="14" t="s">
        <v>68</v>
      </c>
      <c r="B2" s="8" t="s">
        <v>69</v>
      </c>
      <c r="C2" s="8"/>
      <c r="D2" s="8"/>
      <c r="E2" s="4" t="s">
        <v>70</v>
      </c>
      <c r="F2" s="13"/>
      <c r="G2" s="6"/>
      <c r="H2" s="12" t="str">
        <f>IF(YEAR(G2) &lt;= 1990, "X", DATE(YEAR(G2)+2, MONTH(G2), DAY(G2)))</f>
        <v>X</v>
      </c>
      <c r="I2" s="6"/>
      <c r="J2" s="12" t="str">
        <f>IF(YEAR(I2) &lt;= 1990, "X", DATE(YEAR(I2)+2, MONTH(I2), DAY(I2)))</f>
        <v>X</v>
      </c>
      <c r="K2" s="6"/>
      <c r="L2" s="12" t="str">
        <f t="shared" ref="L2:L67" si="0">IF(YEAR(K2) &lt;= 1990, "X", DATE(YEAR(K2)+2, MONTH(K2), DAY(K2)))</f>
        <v>X</v>
      </c>
      <c r="M2" s="6"/>
      <c r="N2" s="12" t="str">
        <f>IF(YEAR(M2) &lt;= 1990, "X", DATE(YEAR(M2)+2, MONTH(M2), DAY(M2)))</f>
        <v>X</v>
      </c>
      <c r="O2" s="6"/>
      <c r="P2" s="12" t="str">
        <f t="shared" ref="P2:P3" si="1">IF(YEAR(O2) &lt;= 1990, "X", DATE(YEAR(O2)+1, MONTH(O2), DAY(O2)))</f>
        <v>X</v>
      </c>
      <c r="Q2" s="6"/>
      <c r="R2" s="12" t="str">
        <f t="shared" ref="R2:R3" si="2">IF(YEAR(Q2) &lt;= 1990, "X", DATE(YEAR(Q2)+1, MONTH(Q2), DAY(Q2)))</f>
        <v>X</v>
      </c>
      <c r="S2" s="6"/>
      <c r="T2" s="12" t="str">
        <f>IF(YEAR(S2) &lt;= 1990, "X", DATE(YEAR(S2)+2, MONTH(S2), DAY(S2)))</f>
        <v>X</v>
      </c>
      <c r="U2" s="6"/>
      <c r="V2" s="12" t="str">
        <f>IF(YEAR(U2) &lt;= 1990, "X", DATE(YEAR(U2)+2, MONTH(U2), DAY(U2)))</f>
        <v>X</v>
      </c>
      <c r="W2" s="6"/>
      <c r="X2" s="6"/>
      <c r="Y2" s="6"/>
      <c r="Z2" s="12" t="str">
        <f t="shared" ref="Z2:Z53" si="3">IF(YEAR(Y2) &lt;= 1990, "X", DATE(YEAR(Y2)+2, MONTH(Y2), DAY(Y2)))</f>
        <v>X</v>
      </c>
      <c r="AA2" s="6"/>
      <c r="AB2" s="12" t="str">
        <f t="shared" ref="AB2:AB28" si="4">IF(YEAR(AA2) &lt;= 1990, "X", DATE(YEAR(AA2)+2, MONTH(AA2), DAY(AA2)))</f>
        <v>X</v>
      </c>
      <c r="AC2" s="6"/>
      <c r="AD2" s="12" t="str">
        <f t="shared" ref="AD2:AD53" si="5">IF(YEAR(AC2) &lt;= 1990, "X", DATE(YEAR(AC2)+2, MONTH(AC2), DAY(AC2)))</f>
        <v>X</v>
      </c>
      <c r="AE2" s="1"/>
    </row>
    <row r="3" spans="1:32" ht="15.75" customHeight="1" x14ac:dyDescent="0.45">
      <c r="A3" s="9" t="s">
        <v>4</v>
      </c>
      <c r="B3" s="6" t="s">
        <v>8</v>
      </c>
      <c r="C3" s="7"/>
      <c r="D3" s="12" t="str">
        <f>IF(YEAR(C3) &lt;= 1990, "X", DATE(YEAR(C3)+2, MONTH(C3), DAY(C3)))</f>
        <v>X</v>
      </c>
      <c r="E3" s="7"/>
      <c r="F3" s="12" t="str">
        <f>IF(YEAR(E3) &lt;= 1990, "X", DATE(YEAR(E3)+2, MONTH(E3), DAY(E3)))</f>
        <v>X</v>
      </c>
      <c r="G3" s="7">
        <v>45159</v>
      </c>
      <c r="H3" s="12">
        <f>IF(YEAR(G3) &lt;= 1990, "X", DATE(YEAR(G3)+2, MONTH(G3), DAY(G3)))</f>
        <v>45890</v>
      </c>
      <c r="I3" s="7">
        <v>45184</v>
      </c>
      <c r="J3" s="12">
        <f>IF(YEAR(I3) &lt;= 1990, "X", DATE(YEAR(I3)+2, MONTH(I3), DAY(I3)))</f>
        <v>45915</v>
      </c>
      <c r="K3" s="7"/>
      <c r="L3" s="12" t="str">
        <f t="shared" si="0"/>
        <v>X</v>
      </c>
      <c r="M3" s="7">
        <v>45159</v>
      </c>
      <c r="N3" s="12">
        <f>IF(YEAR(M3) &lt;= 1990, "X", DATE(YEAR(M3)+2, MONTH(M3), DAY(M3)))</f>
        <v>45890</v>
      </c>
      <c r="O3" s="7"/>
      <c r="P3" s="12" t="str">
        <f t="shared" si="1"/>
        <v>X</v>
      </c>
      <c r="Q3" s="7"/>
      <c r="R3" s="12" t="str">
        <f t="shared" si="2"/>
        <v>X</v>
      </c>
      <c r="S3" s="7">
        <v>45355</v>
      </c>
      <c r="T3" s="12">
        <f>IF(YEAR(S3) &lt;= 1990, "X", DATE(YEAR(S3)+2, MONTH(S3), DAY(S3)))</f>
        <v>46085</v>
      </c>
      <c r="U3" s="7"/>
      <c r="V3" s="12" t="str">
        <f>IF(YEAR(U3) &lt;= 1990, "X", DATE(YEAR(U3)+2, MONTH(U3), DAY(U3)))</f>
        <v>X</v>
      </c>
      <c r="W3" s="12"/>
      <c r="X3" s="12"/>
      <c r="Y3" s="7"/>
      <c r="Z3" s="12" t="str">
        <f t="shared" si="3"/>
        <v>X</v>
      </c>
      <c r="AA3" s="7"/>
      <c r="AB3" s="12" t="str">
        <f t="shared" si="4"/>
        <v>X</v>
      </c>
      <c r="AC3" s="7"/>
      <c r="AD3" s="12" t="str">
        <f t="shared" si="5"/>
        <v>X</v>
      </c>
      <c r="AE3" s="12"/>
      <c r="AF3" s="16"/>
    </row>
    <row r="4" spans="1:32" ht="15.75" customHeight="1" x14ac:dyDescent="0.45">
      <c r="A4" s="9" t="s">
        <v>223</v>
      </c>
      <c r="B4" s="6" t="s">
        <v>66</v>
      </c>
      <c r="C4" s="7"/>
      <c r="D4" s="12" t="str">
        <f>IF(YEAR(C4) &lt;= 1990, "X", DATE(YEAR(C4)+2, MONTH(C4), DAY(C4)))</f>
        <v>X</v>
      </c>
      <c r="E4" s="7">
        <v>46244</v>
      </c>
      <c r="F4" s="12">
        <f>IF(YEAR(E4) &lt;= 1990, "X", DATE(YEAR(E4)+2, MONTH(E4), DAY(E4)))</f>
        <v>46975</v>
      </c>
      <c r="G4" s="7"/>
      <c r="H4" s="12"/>
      <c r="I4" s="7"/>
      <c r="J4" s="12"/>
      <c r="K4" s="7"/>
      <c r="L4" s="12"/>
      <c r="M4" s="7"/>
      <c r="N4" s="12"/>
      <c r="O4" s="7"/>
      <c r="P4" s="12"/>
      <c r="Q4" s="7"/>
      <c r="R4" s="12"/>
      <c r="S4" s="7"/>
      <c r="T4" s="12"/>
      <c r="U4" s="7"/>
      <c r="V4" s="12"/>
      <c r="W4" s="12"/>
      <c r="X4" s="12"/>
      <c r="Y4" s="7"/>
      <c r="Z4" s="12"/>
      <c r="AA4" s="7"/>
      <c r="AB4" s="12"/>
      <c r="AC4" s="7"/>
      <c r="AD4" s="12"/>
      <c r="AE4" s="12"/>
      <c r="AF4" s="16"/>
    </row>
    <row r="5" spans="1:32" ht="15.75" customHeight="1" x14ac:dyDescent="0.45">
      <c r="A5" s="9" t="s">
        <v>115</v>
      </c>
      <c r="B5" s="6" t="s">
        <v>116</v>
      </c>
      <c r="C5" s="7"/>
      <c r="D5" s="12" t="str">
        <f t="shared" ref="D5:D21" si="6">IF(YEAR(C5) &lt;= 1990, "X", DATE(YEAR(C5)+2, MONTH(C5), DAY(C5)))</f>
        <v>X</v>
      </c>
      <c r="E5" s="7">
        <v>46028</v>
      </c>
      <c r="F5" s="12">
        <f t="shared" ref="F5:F71" si="7">IF(YEAR(E5) &lt;= 1990, "X", DATE(YEAR(E5)+2, MONTH(E5), DAY(E5)))</f>
        <v>46758</v>
      </c>
      <c r="G5" s="7">
        <v>46028</v>
      </c>
      <c r="H5" s="12">
        <f t="shared" ref="H5:H69" si="8">IF(YEAR(G5) &lt;= 1990, "X", DATE(YEAR(G5)+2, MONTH(G5), DAY(G5)))</f>
        <v>46758</v>
      </c>
      <c r="I5" s="7"/>
      <c r="J5" s="12" t="str">
        <f t="shared" ref="J5:J69" si="9">IF(YEAR(I5) &lt;= 1990, "X", DATE(YEAR(I5)+2, MONTH(I5), DAY(I5)))</f>
        <v>X</v>
      </c>
      <c r="K5" s="7">
        <v>46112</v>
      </c>
      <c r="L5" s="12">
        <f t="shared" si="0"/>
        <v>46843</v>
      </c>
      <c r="M5" s="7">
        <v>46029</v>
      </c>
      <c r="N5" s="12">
        <f t="shared" ref="N5:N69" si="10">IF(YEAR(M5) &lt;= 1990, "X", DATE(YEAR(M5)+2, MONTH(M5), DAY(M5)))</f>
        <v>46759</v>
      </c>
      <c r="O5" s="7">
        <v>46113</v>
      </c>
      <c r="P5" s="12">
        <f t="shared" ref="P5:P70" si="11">IF(YEAR(O5) &lt;= 1990, "X", DATE(YEAR(O5)+1, MONTH(O5), DAY(O5)))</f>
        <v>46478</v>
      </c>
      <c r="Q5" s="7">
        <v>46137</v>
      </c>
      <c r="R5" s="12">
        <f t="shared" ref="R5:R70" si="12">IF(YEAR(Q5) &lt;= 1990, "X", DATE(YEAR(Q5)+1, MONTH(Q5), DAY(Q5)))</f>
        <v>46502</v>
      </c>
      <c r="S5" s="7">
        <v>46111</v>
      </c>
      <c r="T5" s="12">
        <f t="shared" ref="T5:T69" si="13">IF(YEAR(S5) &lt;= 1990, "X", DATE(YEAR(S5)+2, MONTH(S5), DAY(S5)))</f>
        <v>46842</v>
      </c>
      <c r="U5" s="7"/>
      <c r="V5" s="12" t="str">
        <f t="shared" ref="V5:V69" si="14">IF(YEAR(U5) &lt;= 1990, "X", DATE(YEAR(U5)+2, MONTH(U5), DAY(U5)))</f>
        <v>X</v>
      </c>
      <c r="W5" s="12"/>
      <c r="X5" s="19"/>
      <c r="Y5" s="7"/>
      <c r="Z5" s="12" t="str">
        <f t="shared" si="3"/>
        <v>X</v>
      </c>
      <c r="AA5" s="7"/>
      <c r="AB5" s="12" t="str">
        <f t="shared" si="4"/>
        <v>X</v>
      </c>
      <c r="AC5" s="7"/>
      <c r="AD5" s="12" t="str">
        <f t="shared" si="5"/>
        <v>X</v>
      </c>
      <c r="AE5" s="12"/>
      <c r="AF5" s="16"/>
    </row>
    <row r="6" spans="1:32" ht="15.75" customHeight="1" x14ac:dyDescent="0.45">
      <c r="A6" s="20" t="s">
        <v>117</v>
      </c>
      <c r="B6" s="6" t="s">
        <v>118</v>
      </c>
      <c r="C6" s="7"/>
      <c r="D6" s="12" t="str">
        <f t="shared" si="6"/>
        <v>X</v>
      </c>
      <c r="E6" s="7"/>
      <c r="F6" s="12" t="str">
        <f t="shared" si="7"/>
        <v>X</v>
      </c>
      <c r="G6" s="7"/>
      <c r="H6" s="12" t="str">
        <f t="shared" si="8"/>
        <v>X</v>
      </c>
      <c r="I6" s="7"/>
      <c r="J6" s="12" t="str">
        <f t="shared" si="9"/>
        <v>X</v>
      </c>
      <c r="K6" s="7"/>
      <c r="L6" s="12" t="str">
        <f t="shared" si="0"/>
        <v>X</v>
      </c>
      <c r="M6" s="7"/>
      <c r="N6" s="12" t="str">
        <f t="shared" si="10"/>
        <v>X</v>
      </c>
      <c r="O6" s="7"/>
      <c r="P6" s="12" t="str">
        <f t="shared" si="11"/>
        <v>X</v>
      </c>
      <c r="Q6" s="7"/>
      <c r="R6" s="12" t="str">
        <f t="shared" si="12"/>
        <v>X</v>
      </c>
      <c r="S6" s="7"/>
      <c r="T6" s="12" t="str">
        <f t="shared" si="13"/>
        <v>X</v>
      </c>
      <c r="U6" s="7"/>
      <c r="V6" s="12" t="str">
        <f t="shared" si="14"/>
        <v>X</v>
      </c>
      <c r="W6" s="12"/>
      <c r="X6" s="19"/>
      <c r="Y6" s="7"/>
      <c r="Z6" s="12" t="str">
        <f t="shared" si="3"/>
        <v>X</v>
      </c>
      <c r="AA6" s="7"/>
      <c r="AB6" s="12" t="str">
        <f t="shared" si="4"/>
        <v>X</v>
      </c>
      <c r="AC6" s="7"/>
      <c r="AD6" s="12" t="str">
        <f t="shared" si="5"/>
        <v>X</v>
      </c>
      <c r="AE6" s="12"/>
      <c r="AF6" s="16"/>
    </row>
    <row r="7" spans="1:32" ht="15.75" customHeight="1" x14ac:dyDescent="0.45">
      <c r="A7" s="20" t="s">
        <v>119</v>
      </c>
      <c r="B7" s="6" t="s">
        <v>30</v>
      </c>
      <c r="C7" s="7"/>
      <c r="D7" s="12" t="str">
        <f t="shared" si="6"/>
        <v>X</v>
      </c>
      <c r="E7" s="7"/>
      <c r="F7" s="12" t="str">
        <f t="shared" si="7"/>
        <v>X</v>
      </c>
      <c r="G7" s="7"/>
      <c r="H7" s="12" t="str">
        <f t="shared" si="8"/>
        <v>X</v>
      </c>
      <c r="I7" s="7"/>
      <c r="J7" s="12" t="str">
        <f t="shared" si="9"/>
        <v>X</v>
      </c>
      <c r="K7" s="7"/>
      <c r="L7" s="12" t="str">
        <f t="shared" si="0"/>
        <v>X</v>
      </c>
      <c r="M7" s="7"/>
      <c r="N7" s="12" t="str">
        <f t="shared" si="10"/>
        <v>X</v>
      </c>
      <c r="O7" s="7"/>
      <c r="P7" s="12" t="str">
        <f t="shared" si="11"/>
        <v>X</v>
      </c>
      <c r="Q7" s="7"/>
      <c r="R7" s="12" t="str">
        <f t="shared" si="12"/>
        <v>X</v>
      </c>
      <c r="S7" s="7"/>
      <c r="T7" s="12" t="str">
        <f t="shared" si="13"/>
        <v>X</v>
      </c>
      <c r="U7" s="7"/>
      <c r="V7" s="12" t="str">
        <f t="shared" si="14"/>
        <v>X</v>
      </c>
      <c r="W7" s="12"/>
      <c r="X7" s="19"/>
      <c r="Y7" s="7"/>
      <c r="Z7" s="12" t="str">
        <f t="shared" si="3"/>
        <v>X</v>
      </c>
      <c r="AA7" s="7"/>
      <c r="AB7" s="12" t="str">
        <f t="shared" si="4"/>
        <v>X</v>
      </c>
      <c r="AC7" s="7"/>
      <c r="AD7" s="12" t="str">
        <f t="shared" si="5"/>
        <v>X</v>
      </c>
      <c r="AE7" s="12">
        <v>46119</v>
      </c>
      <c r="AF7" s="16"/>
    </row>
    <row r="8" spans="1:32" x14ac:dyDescent="0.45">
      <c r="A8" s="5" t="s">
        <v>1</v>
      </c>
      <c r="B8" s="6" t="s">
        <v>6</v>
      </c>
      <c r="C8" s="7"/>
      <c r="D8" s="12" t="str">
        <f t="shared" si="6"/>
        <v>X</v>
      </c>
      <c r="E8" s="7">
        <v>45240</v>
      </c>
      <c r="F8" s="12">
        <f t="shared" si="7"/>
        <v>45971</v>
      </c>
      <c r="G8" s="7">
        <v>45019</v>
      </c>
      <c r="H8" s="12">
        <f t="shared" si="8"/>
        <v>45750</v>
      </c>
      <c r="I8" s="7"/>
      <c r="J8" s="12" t="str">
        <f t="shared" si="9"/>
        <v>X</v>
      </c>
      <c r="K8" s="7"/>
      <c r="L8" s="12" t="str">
        <f t="shared" si="0"/>
        <v>X</v>
      </c>
      <c r="M8" s="7">
        <v>45604</v>
      </c>
      <c r="N8" s="12">
        <f t="shared" si="10"/>
        <v>46334</v>
      </c>
      <c r="O8" s="7"/>
      <c r="P8" s="12" t="str">
        <f t="shared" si="11"/>
        <v>X</v>
      </c>
      <c r="Q8" s="7"/>
      <c r="R8" s="12" t="str">
        <f t="shared" si="12"/>
        <v>X</v>
      </c>
      <c r="S8" s="7">
        <v>44988</v>
      </c>
      <c r="T8" s="12">
        <f t="shared" si="13"/>
        <v>45719</v>
      </c>
      <c r="U8" s="7"/>
      <c r="V8" s="12" t="str">
        <f t="shared" si="14"/>
        <v>X</v>
      </c>
      <c r="W8" s="12"/>
      <c r="X8" s="12"/>
      <c r="Y8" s="7"/>
      <c r="Z8" s="12" t="str">
        <f t="shared" si="3"/>
        <v>X</v>
      </c>
      <c r="AA8" s="7"/>
      <c r="AB8" s="12" t="str">
        <f t="shared" si="4"/>
        <v>X</v>
      </c>
      <c r="AC8" s="7"/>
      <c r="AD8" s="12" t="str">
        <f t="shared" si="5"/>
        <v>X</v>
      </c>
      <c r="AE8" s="12"/>
      <c r="AF8" s="16"/>
    </row>
    <row r="9" spans="1:32" x14ac:dyDescent="0.45">
      <c r="A9" s="9" t="s">
        <v>2</v>
      </c>
      <c r="B9" s="6" t="s">
        <v>7</v>
      </c>
      <c r="C9" s="7"/>
      <c r="D9" s="12" t="str">
        <f t="shared" si="6"/>
        <v>X</v>
      </c>
      <c r="E9" s="7">
        <v>45398</v>
      </c>
      <c r="F9" s="12">
        <f t="shared" si="7"/>
        <v>46128</v>
      </c>
      <c r="G9" s="7">
        <v>46244</v>
      </c>
      <c r="H9" s="12">
        <f t="shared" si="8"/>
        <v>46975</v>
      </c>
      <c r="I9" s="7"/>
      <c r="J9" s="12" t="str">
        <f t="shared" si="9"/>
        <v>X</v>
      </c>
      <c r="K9" s="7">
        <v>46245</v>
      </c>
      <c r="L9" s="12">
        <f t="shared" si="0"/>
        <v>46976</v>
      </c>
      <c r="M9" s="7">
        <v>46244</v>
      </c>
      <c r="N9" s="12">
        <f t="shared" si="10"/>
        <v>46975</v>
      </c>
      <c r="O9" s="7"/>
      <c r="P9" s="12" t="str">
        <f t="shared" si="11"/>
        <v>X</v>
      </c>
      <c r="Q9" s="7">
        <v>45406</v>
      </c>
      <c r="R9" s="12">
        <f t="shared" si="12"/>
        <v>45771</v>
      </c>
      <c r="S9" s="7">
        <v>46241</v>
      </c>
      <c r="T9" s="12">
        <f t="shared" si="13"/>
        <v>46972</v>
      </c>
      <c r="U9" s="7">
        <v>45423</v>
      </c>
      <c r="V9" s="12">
        <f t="shared" si="14"/>
        <v>46153</v>
      </c>
      <c r="W9" s="12"/>
      <c r="X9" s="12"/>
      <c r="Y9" s="7"/>
      <c r="Z9" s="12" t="str">
        <f t="shared" si="3"/>
        <v>X</v>
      </c>
      <c r="AA9" s="7"/>
      <c r="AB9" s="12" t="str">
        <f t="shared" si="4"/>
        <v>X</v>
      </c>
      <c r="AC9" s="7"/>
      <c r="AD9" s="12" t="str">
        <f t="shared" si="5"/>
        <v>X</v>
      </c>
      <c r="AE9" s="12"/>
      <c r="AF9" s="16"/>
    </row>
    <row r="10" spans="1:32" x14ac:dyDescent="0.45">
      <c r="A10" s="20" t="s">
        <v>120</v>
      </c>
      <c r="B10" s="6" t="s">
        <v>121</v>
      </c>
      <c r="C10" s="7"/>
      <c r="D10" s="12" t="str">
        <f t="shared" si="6"/>
        <v>X</v>
      </c>
      <c r="E10" s="7"/>
      <c r="F10" s="12" t="str">
        <f t="shared" si="7"/>
        <v>X</v>
      </c>
      <c r="G10" s="7"/>
      <c r="H10" s="12" t="str">
        <f t="shared" si="8"/>
        <v>X</v>
      </c>
      <c r="I10" s="7"/>
      <c r="J10" s="12" t="str">
        <f t="shared" si="9"/>
        <v>X</v>
      </c>
      <c r="K10" s="7"/>
      <c r="L10" s="12" t="str">
        <f t="shared" si="0"/>
        <v>X</v>
      </c>
      <c r="M10" s="7"/>
      <c r="N10" s="12" t="str">
        <f t="shared" si="10"/>
        <v>X</v>
      </c>
      <c r="O10" s="7"/>
      <c r="P10" s="12" t="str">
        <f t="shared" si="11"/>
        <v>X</v>
      </c>
      <c r="Q10" s="7"/>
      <c r="R10" s="12" t="str">
        <f t="shared" si="12"/>
        <v>X</v>
      </c>
      <c r="S10" s="7"/>
      <c r="T10" s="12" t="str">
        <f t="shared" si="13"/>
        <v>X</v>
      </c>
      <c r="U10" s="7"/>
      <c r="V10" s="12" t="str">
        <f t="shared" si="14"/>
        <v>X</v>
      </c>
      <c r="W10" s="12"/>
      <c r="X10" s="19"/>
      <c r="Y10" s="7"/>
      <c r="Z10" s="12" t="str">
        <f t="shared" si="3"/>
        <v>X</v>
      </c>
      <c r="AA10" s="7"/>
      <c r="AB10" s="12" t="str">
        <f t="shared" si="4"/>
        <v>X</v>
      </c>
      <c r="AC10" s="7"/>
      <c r="AD10" s="12" t="str">
        <f t="shared" si="5"/>
        <v>X</v>
      </c>
      <c r="AE10" s="12"/>
      <c r="AF10" s="16"/>
    </row>
    <row r="11" spans="1:32" x14ac:dyDescent="0.45">
      <c r="A11" s="20" t="s">
        <v>122</v>
      </c>
      <c r="B11" s="6" t="s">
        <v>123</v>
      </c>
      <c r="C11" s="7"/>
      <c r="D11" s="12" t="str">
        <f t="shared" si="6"/>
        <v>X</v>
      </c>
      <c r="E11" s="7"/>
      <c r="F11" s="12" t="str">
        <f t="shared" si="7"/>
        <v>X</v>
      </c>
      <c r="G11" s="7"/>
      <c r="H11" s="12" t="str">
        <f t="shared" si="8"/>
        <v>X</v>
      </c>
      <c r="I11" s="7"/>
      <c r="J11" s="12" t="str">
        <f t="shared" si="9"/>
        <v>X</v>
      </c>
      <c r="K11" s="7"/>
      <c r="L11" s="12" t="str">
        <f t="shared" si="0"/>
        <v>X</v>
      </c>
      <c r="M11" s="7"/>
      <c r="N11" s="12" t="str">
        <f t="shared" si="10"/>
        <v>X</v>
      </c>
      <c r="O11" s="7"/>
      <c r="P11" s="12" t="str">
        <f t="shared" si="11"/>
        <v>X</v>
      </c>
      <c r="Q11" s="7"/>
      <c r="R11" s="12" t="str">
        <f t="shared" si="12"/>
        <v>X</v>
      </c>
      <c r="S11" s="7"/>
      <c r="T11" s="12" t="str">
        <f t="shared" si="13"/>
        <v>X</v>
      </c>
      <c r="U11" s="7"/>
      <c r="V11" s="12" t="str">
        <f t="shared" si="14"/>
        <v>X</v>
      </c>
      <c r="W11" s="12"/>
      <c r="X11" s="19"/>
      <c r="Y11" s="7"/>
      <c r="Z11" s="12" t="str">
        <f t="shared" si="3"/>
        <v>X</v>
      </c>
      <c r="AA11" s="7"/>
      <c r="AB11" s="12" t="str">
        <f t="shared" si="4"/>
        <v>X</v>
      </c>
      <c r="AC11" s="7"/>
      <c r="AD11" s="12" t="str">
        <f t="shared" si="5"/>
        <v>X</v>
      </c>
      <c r="AE11" s="12"/>
      <c r="AF11" s="16"/>
    </row>
    <row r="12" spans="1:32" x14ac:dyDescent="0.45">
      <c r="A12" s="5" t="s">
        <v>71</v>
      </c>
      <c r="B12" s="6" t="s">
        <v>6</v>
      </c>
      <c r="C12" s="7"/>
      <c r="D12" s="12" t="str">
        <f t="shared" si="6"/>
        <v>X</v>
      </c>
      <c r="E12" s="7">
        <v>45240</v>
      </c>
      <c r="F12" s="12">
        <f t="shared" si="7"/>
        <v>45971</v>
      </c>
      <c r="G12" s="7">
        <v>45019</v>
      </c>
      <c r="H12" s="12">
        <f t="shared" si="8"/>
        <v>45750</v>
      </c>
      <c r="I12" s="7"/>
      <c r="J12" s="12" t="str">
        <f t="shared" si="9"/>
        <v>X</v>
      </c>
      <c r="K12" s="7"/>
      <c r="L12" s="12" t="str">
        <f t="shared" si="0"/>
        <v>X</v>
      </c>
      <c r="M12" s="7">
        <v>45604</v>
      </c>
      <c r="N12" s="12">
        <f t="shared" si="10"/>
        <v>46334</v>
      </c>
      <c r="O12" s="7"/>
      <c r="P12" s="12" t="str">
        <f t="shared" si="11"/>
        <v>X</v>
      </c>
      <c r="Q12" s="7"/>
      <c r="R12" s="12" t="str">
        <f t="shared" si="12"/>
        <v>X</v>
      </c>
      <c r="S12" s="7"/>
      <c r="T12" s="12" t="str">
        <f t="shared" si="13"/>
        <v>X</v>
      </c>
      <c r="U12" s="7"/>
      <c r="V12" s="12" t="str">
        <f t="shared" si="14"/>
        <v>X</v>
      </c>
      <c r="W12" s="12"/>
      <c r="X12" s="12"/>
      <c r="Y12" s="7"/>
      <c r="Z12" s="12" t="str">
        <f t="shared" si="3"/>
        <v>X</v>
      </c>
      <c r="AA12" s="7"/>
      <c r="AB12" s="12" t="str">
        <f t="shared" si="4"/>
        <v>X</v>
      </c>
      <c r="AC12" s="7"/>
      <c r="AD12" s="12" t="str">
        <f t="shared" si="5"/>
        <v>X</v>
      </c>
      <c r="AE12" s="12"/>
      <c r="AF12" s="16"/>
    </row>
    <row r="13" spans="1:32" x14ac:dyDescent="0.45">
      <c r="A13" s="5" t="s">
        <v>192</v>
      </c>
      <c r="B13" s="6" t="s">
        <v>193</v>
      </c>
      <c r="C13" s="7"/>
      <c r="D13" s="12" t="str">
        <f t="shared" si="6"/>
        <v>X</v>
      </c>
      <c r="E13" s="7"/>
      <c r="F13" s="12" t="str">
        <f t="shared" si="7"/>
        <v>X</v>
      </c>
      <c r="G13" s="7"/>
      <c r="H13" s="12" t="str">
        <f t="shared" si="8"/>
        <v>X</v>
      </c>
      <c r="I13" s="7"/>
      <c r="J13" s="12"/>
      <c r="K13" s="7"/>
      <c r="L13" s="12"/>
      <c r="M13" s="7"/>
      <c r="N13" s="12" t="str">
        <f t="shared" si="10"/>
        <v>X</v>
      </c>
      <c r="O13" s="7"/>
      <c r="P13" s="12" t="str">
        <f t="shared" si="11"/>
        <v>X</v>
      </c>
      <c r="Q13" s="7"/>
      <c r="R13" s="12" t="str">
        <f t="shared" si="12"/>
        <v>X</v>
      </c>
      <c r="S13" s="7"/>
      <c r="T13" s="12" t="str">
        <f t="shared" si="13"/>
        <v>X</v>
      </c>
      <c r="U13" s="7"/>
      <c r="V13" s="12"/>
      <c r="W13" s="12"/>
      <c r="X13" s="12"/>
      <c r="Y13" s="7"/>
      <c r="Z13" s="12"/>
      <c r="AA13" s="7"/>
      <c r="AB13" s="12"/>
      <c r="AC13" s="7"/>
      <c r="AD13" s="12"/>
      <c r="AE13" s="12"/>
      <c r="AF13" s="16"/>
    </row>
    <row r="14" spans="1:32" ht="16.5" customHeight="1" x14ac:dyDescent="0.45">
      <c r="A14" s="9" t="s">
        <v>3</v>
      </c>
      <c r="B14" s="6" t="s">
        <v>28</v>
      </c>
      <c r="C14" s="7"/>
      <c r="D14" s="12" t="str">
        <f t="shared" si="6"/>
        <v>X</v>
      </c>
      <c r="E14" s="7">
        <v>45436</v>
      </c>
      <c r="F14" s="12">
        <f t="shared" si="7"/>
        <v>46166</v>
      </c>
      <c r="G14" s="7">
        <v>45791</v>
      </c>
      <c r="H14" s="12">
        <f t="shared" si="8"/>
        <v>46521</v>
      </c>
      <c r="I14" s="7">
        <v>45449</v>
      </c>
      <c r="J14" s="12">
        <f t="shared" si="9"/>
        <v>46179</v>
      </c>
      <c r="K14" s="7">
        <v>45866</v>
      </c>
      <c r="L14" s="12">
        <f t="shared" si="0"/>
        <v>46596</v>
      </c>
      <c r="M14" s="7">
        <v>45439</v>
      </c>
      <c r="N14" s="12">
        <f t="shared" si="10"/>
        <v>46169</v>
      </c>
      <c r="O14" s="7">
        <v>45792</v>
      </c>
      <c r="P14" s="12">
        <f t="shared" si="11"/>
        <v>46157</v>
      </c>
      <c r="Q14" s="7">
        <v>45420</v>
      </c>
      <c r="R14" s="12">
        <f t="shared" si="12"/>
        <v>45785</v>
      </c>
      <c r="S14" s="7">
        <v>45444</v>
      </c>
      <c r="T14" s="12">
        <f t="shared" si="13"/>
        <v>46174</v>
      </c>
      <c r="U14" s="7">
        <v>45555</v>
      </c>
      <c r="V14" s="12">
        <f t="shared" si="14"/>
        <v>46285</v>
      </c>
      <c r="W14" s="12"/>
      <c r="X14" s="12"/>
      <c r="Y14" s="7"/>
      <c r="Z14" s="12" t="str">
        <f t="shared" si="3"/>
        <v>X</v>
      </c>
      <c r="AA14" s="7"/>
      <c r="AB14" s="12" t="str">
        <f t="shared" si="4"/>
        <v>X</v>
      </c>
      <c r="AC14" s="7"/>
      <c r="AD14" s="12" t="str">
        <f t="shared" si="5"/>
        <v>X</v>
      </c>
      <c r="AE14" s="12"/>
      <c r="AF14" s="12"/>
    </row>
    <row r="15" spans="1:32" ht="16.5" customHeight="1" x14ac:dyDescent="0.45">
      <c r="A15" s="20" t="s">
        <v>124</v>
      </c>
      <c r="B15" s="6" t="s">
        <v>125</v>
      </c>
      <c r="C15" s="7"/>
      <c r="D15" s="12" t="str">
        <f t="shared" si="6"/>
        <v>X</v>
      </c>
      <c r="E15" s="7"/>
      <c r="F15" s="12" t="str">
        <f t="shared" si="7"/>
        <v>X</v>
      </c>
      <c r="G15" s="7"/>
      <c r="H15" s="12" t="str">
        <f t="shared" si="8"/>
        <v>X</v>
      </c>
      <c r="I15" s="7"/>
      <c r="J15" s="12" t="str">
        <f t="shared" si="9"/>
        <v>X</v>
      </c>
      <c r="K15" s="7"/>
      <c r="L15" s="12" t="str">
        <f t="shared" si="0"/>
        <v>X</v>
      </c>
      <c r="M15" s="7"/>
      <c r="N15" s="12" t="str">
        <f t="shared" si="10"/>
        <v>X</v>
      </c>
      <c r="O15" s="7"/>
      <c r="P15" s="12" t="str">
        <f t="shared" si="11"/>
        <v>X</v>
      </c>
      <c r="Q15" s="7"/>
      <c r="R15" s="12" t="str">
        <f t="shared" si="12"/>
        <v>X</v>
      </c>
      <c r="S15" s="7"/>
      <c r="T15" s="12" t="str">
        <f t="shared" si="13"/>
        <v>X</v>
      </c>
      <c r="U15" s="7"/>
      <c r="V15" s="12" t="str">
        <f t="shared" si="14"/>
        <v>X</v>
      </c>
      <c r="W15" s="12"/>
      <c r="X15" s="19"/>
      <c r="Y15" s="7"/>
      <c r="Z15" s="12" t="str">
        <f t="shared" si="3"/>
        <v>X</v>
      </c>
      <c r="AA15" s="7"/>
      <c r="AB15" s="12" t="str">
        <f t="shared" si="4"/>
        <v>X</v>
      </c>
      <c r="AC15" s="7"/>
      <c r="AD15" s="12" t="str">
        <f t="shared" si="5"/>
        <v>X</v>
      </c>
      <c r="AE15" s="12"/>
      <c r="AF15" s="12"/>
    </row>
    <row r="16" spans="1:32" ht="16.5" customHeight="1" x14ac:dyDescent="0.45">
      <c r="A16" s="20" t="s">
        <v>126</v>
      </c>
      <c r="B16" s="6" t="s">
        <v>127</v>
      </c>
      <c r="C16" s="7"/>
      <c r="D16" s="12" t="str">
        <f t="shared" si="6"/>
        <v>X</v>
      </c>
      <c r="E16" s="7"/>
      <c r="F16" s="12" t="str">
        <f t="shared" si="7"/>
        <v>X</v>
      </c>
      <c r="G16" s="7"/>
      <c r="H16" s="12" t="str">
        <f t="shared" si="8"/>
        <v>X</v>
      </c>
      <c r="I16" s="7"/>
      <c r="J16" s="12" t="str">
        <f t="shared" si="9"/>
        <v>X</v>
      </c>
      <c r="K16" s="7"/>
      <c r="L16" s="12" t="str">
        <f t="shared" si="0"/>
        <v>X</v>
      </c>
      <c r="M16" s="7"/>
      <c r="N16" s="12" t="str">
        <f t="shared" si="10"/>
        <v>X</v>
      </c>
      <c r="O16" s="7"/>
      <c r="P16" s="12" t="str">
        <f t="shared" si="11"/>
        <v>X</v>
      </c>
      <c r="Q16" s="7"/>
      <c r="R16" s="12" t="str">
        <f t="shared" si="12"/>
        <v>X</v>
      </c>
      <c r="S16" s="7"/>
      <c r="T16" s="12" t="str">
        <f t="shared" si="13"/>
        <v>X</v>
      </c>
      <c r="U16" s="7"/>
      <c r="V16" s="12" t="str">
        <f t="shared" si="14"/>
        <v>X</v>
      </c>
      <c r="W16" s="12"/>
      <c r="X16" s="19"/>
      <c r="Y16" s="7"/>
      <c r="Z16" s="12" t="str">
        <f t="shared" si="3"/>
        <v>X</v>
      </c>
      <c r="AA16" s="7"/>
      <c r="AB16" s="12" t="str">
        <f t="shared" si="4"/>
        <v>X</v>
      </c>
      <c r="AC16" s="7"/>
      <c r="AD16" s="12" t="str">
        <f t="shared" si="5"/>
        <v>X</v>
      </c>
      <c r="AE16" s="12"/>
      <c r="AF16" s="12"/>
    </row>
    <row r="17" spans="1:33" ht="16.5" customHeight="1" x14ac:dyDescent="0.45">
      <c r="A17" s="20" t="s">
        <v>128</v>
      </c>
      <c r="B17" s="6" t="s">
        <v>116</v>
      </c>
      <c r="C17" s="7"/>
      <c r="D17" s="12" t="str">
        <f t="shared" si="6"/>
        <v>X</v>
      </c>
      <c r="E17" s="7"/>
      <c r="F17" s="12" t="str">
        <f t="shared" si="7"/>
        <v>X</v>
      </c>
      <c r="G17" s="7"/>
      <c r="H17" s="12" t="str">
        <f t="shared" si="8"/>
        <v>X</v>
      </c>
      <c r="I17" s="7"/>
      <c r="J17" s="12" t="str">
        <f t="shared" si="9"/>
        <v>X</v>
      </c>
      <c r="K17" s="7"/>
      <c r="L17" s="12" t="str">
        <f t="shared" si="0"/>
        <v>X</v>
      </c>
      <c r="M17" s="7"/>
      <c r="N17" s="12" t="str">
        <f t="shared" si="10"/>
        <v>X</v>
      </c>
      <c r="O17" s="7"/>
      <c r="P17" s="12" t="str">
        <f t="shared" si="11"/>
        <v>X</v>
      </c>
      <c r="Q17" s="7"/>
      <c r="R17" s="12" t="str">
        <f t="shared" si="12"/>
        <v>X</v>
      </c>
      <c r="S17" s="7"/>
      <c r="T17" s="12" t="str">
        <f t="shared" si="13"/>
        <v>X</v>
      </c>
      <c r="U17" s="7"/>
      <c r="V17" s="12" t="str">
        <f t="shared" si="14"/>
        <v>X</v>
      </c>
      <c r="W17" s="12"/>
      <c r="X17" s="19"/>
      <c r="Y17" s="7"/>
      <c r="Z17" s="12" t="str">
        <f t="shared" si="3"/>
        <v>X</v>
      </c>
      <c r="AA17" s="7"/>
      <c r="AB17" s="12" t="str">
        <f t="shared" si="4"/>
        <v>X</v>
      </c>
      <c r="AC17" s="7"/>
      <c r="AD17" s="12" t="str">
        <f t="shared" si="5"/>
        <v>X</v>
      </c>
      <c r="AE17" s="12">
        <v>46119</v>
      </c>
      <c r="AF17" s="12"/>
    </row>
    <row r="18" spans="1:33" x14ac:dyDescent="0.45">
      <c r="A18" s="20" t="s">
        <v>129</v>
      </c>
      <c r="B18" s="6" t="s">
        <v>104</v>
      </c>
      <c r="C18" s="7"/>
      <c r="D18" s="12" t="str">
        <f t="shared" si="6"/>
        <v>X</v>
      </c>
      <c r="E18" s="7"/>
      <c r="F18" s="12" t="str">
        <f t="shared" si="7"/>
        <v>X</v>
      </c>
      <c r="G18" s="7"/>
      <c r="H18" s="12" t="str">
        <f t="shared" si="8"/>
        <v>X</v>
      </c>
      <c r="I18" s="7"/>
      <c r="J18" s="12" t="str">
        <f t="shared" si="9"/>
        <v>X</v>
      </c>
      <c r="K18" s="7"/>
      <c r="L18" s="12" t="str">
        <f t="shared" si="0"/>
        <v>X</v>
      </c>
      <c r="M18" s="7"/>
      <c r="N18" s="12" t="str">
        <f t="shared" si="10"/>
        <v>X</v>
      </c>
      <c r="O18" s="7"/>
      <c r="P18" s="12" t="str">
        <f t="shared" si="11"/>
        <v>X</v>
      </c>
      <c r="Q18" s="7"/>
      <c r="R18" s="12" t="str">
        <f t="shared" si="12"/>
        <v>X</v>
      </c>
      <c r="S18" s="7"/>
      <c r="T18" s="12" t="str">
        <f t="shared" si="13"/>
        <v>X</v>
      </c>
      <c r="U18" s="7"/>
      <c r="V18" s="12" t="str">
        <f t="shared" si="14"/>
        <v>X</v>
      </c>
      <c r="W18" s="12"/>
      <c r="X18" s="19"/>
      <c r="Y18" s="7"/>
      <c r="Z18" s="12" t="str">
        <f t="shared" si="3"/>
        <v>X</v>
      </c>
      <c r="AA18" s="7"/>
      <c r="AB18" s="12" t="str">
        <f t="shared" si="4"/>
        <v>X</v>
      </c>
      <c r="AC18" s="7"/>
      <c r="AD18" s="12" t="str">
        <f t="shared" si="5"/>
        <v>X</v>
      </c>
      <c r="AE18" s="12"/>
      <c r="AF18" s="12"/>
    </row>
    <row r="19" spans="1:33" x14ac:dyDescent="0.45">
      <c r="A19" s="20" t="s">
        <v>130</v>
      </c>
      <c r="B19" s="6" t="s">
        <v>118</v>
      </c>
      <c r="C19" s="7"/>
      <c r="D19" s="12" t="str">
        <f t="shared" si="6"/>
        <v>X</v>
      </c>
      <c r="E19" s="7"/>
      <c r="F19" s="12" t="str">
        <f t="shared" si="7"/>
        <v>X</v>
      </c>
      <c r="G19" s="7"/>
      <c r="H19" s="12" t="str">
        <f t="shared" si="8"/>
        <v>X</v>
      </c>
      <c r="I19" s="7"/>
      <c r="J19" s="12" t="str">
        <f t="shared" si="9"/>
        <v>X</v>
      </c>
      <c r="K19" s="7"/>
      <c r="L19" s="12" t="str">
        <f t="shared" si="0"/>
        <v>X</v>
      </c>
      <c r="M19" s="7"/>
      <c r="N19" s="12" t="str">
        <f t="shared" si="10"/>
        <v>X</v>
      </c>
      <c r="O19" s="7"/>
      <c r="P19" s="12" t="str">
        <f t="shared" si="11"/>
        <v>X</v>
      </c>
      <c r="Q19" s="7"/>
      <c r="R19" s="12" t="str">
        <f t="shared" si="12"/>
        <v>X</v>
      </c>
      <c r="S19" s="7"/>
      <c r="T19" s="12" t="str">
        <f t="shared" si="13"/>
        <v>X</v>
      </c>
      <c r="U19" s="7"/>
      <c r="V19" s="12" t="str">
        <f t="shared" si="14"/>
        <v>X</v>
      </c>
      <c r="W19" s="12"/>
      <c r="X19" s="19"/>
      <c r="Y19" s="7"/>
      <c r="Z19" s="12" t="str">
        <f t="shared" si="3"/>
        <v>X</v>
      </c>
      <c r="AA19" s="7"/>
      <c r="AB19" s="12" t="str">
        <f t="shared" si="4"/>
        <v>X</v>
      </c>
      <c r="AC19" s="7"/>
      <c r="AD19" s="12" t="str">
        <f t="shared" si="5"/>
        <v>X</v>
      </c>
      <c r="AE19" s="12">
        <v>46119</v>
      </c>
      <c r="AF19" s="12"/>
    </row>
    <row r="20" spans="1:33" x14ac:dyDescent="0.45">
      <c r="A20" s="5" t="s">
        <v>217</v>
      </c>
      <c r="B20" s="6" t="s">
        <v>218</v>
      </c>
      <c r="C20" s="7"/>
      <c r="D20" s="12" t="str">
        <f t="shared" si="6"/>
        <v>X</v>
      </c>
      <c r="E20" s="7">
        <v>46220</v>
      </c>
      <c r="F20" s="12">
        <f t="shared" si="7"/>
        <v>46951</v>
      </c>
      <c r="G20" s="7">
        <v>46220</v>
      </c>
      <c r="H20" s="12">
        <f t="shared" si="8"/>
        <v>46951</v>
      </c>
      <c r="I20" s="7"/>
      <c r="J20" s="12"/>
      <c r="K20" s="7">
        <v>46218</v>
      </c>
      <c r="L20" s="12">
        <f t="shared" si="0"/>
        <v>46949</v>
      </c>
      <c r="M20" s="7">
        <v>46220</v>
      </c>
      <c r="N20" s="12">
        <f t="shared" si="10"/>
        <v>46951</v>
      </c>
      <c r="O20" s="7"/>
      <c r="P20" s="12"/>
      <c r="Q20" s="7"/>
      <c r="R20" s="12"/>
      <c r="S20" s="7">
        <v>46219</v>
      </c>
      <c r="T20" s="12">
        <f t="shared" si="13"/>
        <v>46950</v>
      </c>
      <c r="U20" s="7"/>
      <c r="V20" s="12"/>
      <c r="W20" s="12"/>
      <c r="X20" s="19"/>
      <c r="Y20" s="7"/>
      <c r="Z20" s="12"/>
      <c r="AA20" s="7"/>
      <c r="AB20" s="12"/>
      <c r="AC20" s="7"/>
      <c r="AD20" s="12"/>
      <c r="AE20" s="12"/>
      <c r="AF20" s="12"/>
    </row>
    <row r="21" spans="1:33" x14ac:dyDescent="0.45">
      <c r="A21" s="9" t="s">
        <v>9</v>
      </c>
      <c r="B21" s="6" t="s">
        <v>10</v>
      </c>
      <c r="C21" s="7"/>
      <c r="D21" s="12" t="str">
        <f t="shared" si="6"/>
        <v>X</v>
      </c>
      <c r="E21" s="7">
        <v>45797</v>
      </c>
      <c r="F21" s="12">
        <f t="shared" si="7"/>
        <v>46527</v>
      </c>
      <c r="G21" s="7">
        <v>45797</v>
      </c>
      <c r="H21" s="12">
        <f t="shared" si="8"/>
        <v>46527</v>
      </c>
      <c r="I21" s="7"/>
      <c r="J21" s="12" t="str">
        <f t="shared" si="9"/>
        <v>X</v>
      </c>
      <c r="K21" s="7">
        <v>46083</v>
      </c>
      <c r="L21" s="12">
        <f t="shared" si="0"/>
        <v>46814</v>
      </c>
      <c r="M21" s="7">
        <v>45656</v>
      </c>
      <c r="N21" s="12">
        <f t="shared" si="10"/>
        <v>46386</v>
      </c>
      <c r="O21" s="7">
        <v>46079</v>
      </c>
      <c r="P21" s="12">
        <f t="shared" si="11"/>
        <v>46444</v>
      </c>
      <c r="Q21" s="7">
        <v>46050</v>
      </c>
      <c r="R21" s="12">
        <f t="shared" si="12"/>
        <v>46415</v>
      </c>
      <c r="S21" s="7">
        <v>45748</v>
      </c>
      <c r="T21" s="12">
        <f t="shared" si="13"/>
        <v>46478</v>
      </c>
      <c r="U21" s="7">
        <v>45952</v>
      </c>
      <c r="V21" s="12">
        <f t="shared" si="14"/>
        <v>46682</v>
      </c>
      <c r="W21" s="12"/>
      <c r="X21" s="12"/>
      <c r="Y21" s="7"/>
      <c r="Z21" s="12" t="str">
        <f t="shared" si="3"/>
        <v>X</v>
      </c>
      <c r="AA21" s="7">
        <v>46156</v>
      </c>
      <c r="AB21" s="12">
        <f t="shared" si="4"/>
        <v>46887</v>
      </c>
      <c r="AC21" s="7"/>
      <c r="AD21" s="12" t="str">
        <f t="shared" si="5"/>
        <v>X</v>
      </c>
      <c r="AE21" s="12"/>
      <c r="AF21" s="12">
        <v>46127</v>
      </c>
    </row>
    <row r="22" spans="1:33" x14ac:dyDescent="0.45">
      <c r="A22" s="9" t="s">
        <v>203</v>
      </c>
      <c r="B22" s="6" t="s">
        <v>204</v>
      </c>
      <c r="C22" s="7"/>
      <c r="D22" s="12"/>
      <c r="E22" s="7"/>
      <c r="F22" s="12"/>
      <c r="G22" s="7">
        <v>46164</v>
      </c>
      <c r="H22" s="12">
        <f t="shared" si="8"/>
        <v>46895</v>
      </c>
      <c r="I22" s="7"/>
      <c r="J22" s="12"/>
      <c r="K22" s="7"/>
      <c r="L22" s="12"/>
      <c r="M22" s="7">
        <v>46164</v>
      </c>
      <c r="N22" s="12">
        <f t="shared" si="10"/>
        <v>46895</v>
      </c>
      <c r="O22" s="7"/>
      <c r="P22" s="12"/>
      <c r="Q22" s="7"/>
      <c r="R22" s="12"/>
      <c r="S22" s="7">
        <v>46163</v>
      </c>
      <c r="T22" s="12">
        <f t="shared" si="13"/>
        <v>46894</v>
      </c>
      <c r="U22" s="7"/>
      <c r="V22" s="12"/>
      <c r="W22" s="12"/>
      <c r="X22" s="12"/>
      <c r="Y22" s="7"/>
      <c r="Z22" s="12"/>
      <c r="AA22" s="7"/>
      <c r="AB22" s="12"/>
      <c r="AC22" s="7"/>
      <c r="AD22" s="12"/>
      <c r="AE22" s="12"/>
      <c r="AF22" s="12"/>
    </row>
    <row r="23" spans="1:33" s="21" customFormat="1" x14ac:dyDescent="0.45">
      <c r="A23" s="20" t="s">
        <v>131</v>
      </c>
      <c r="B23" s="6" t="s">
        <v>132</v>
      </c>
      <c r="C23" s="7"/>
      <c r="D23" s="12" t="str">
        <f t="shared" ref="D23:D30" si="15">IF(YEAR(C23) &lt;= 1990, "X", DATE(YEAR(C23)+2, MONTH(C23), DAY(C23)))</f>
        <v>X</v>
      </c>
      <c r="E23" s="7"/>
      <c r="F23" s="12" t="str">
        <f t="shared" si="7"/>
        <v>X</v>
      </c>
      <c r="G23" s="7"/>
      <c r="H23" s="12" t="str">
        <f t="shared" si="8"/>
        <v>X</v>
      </c>
      <c r="I23" s="7"/>
      <c r="J23" s="12" t="str">
        <f t="shared" si="9"/>
        <v>X</v>
      </c>
      <c r="K23" s="7"/>
      <c r="L23" s="12" t="str">
        <f t="shared" si="0"/>
        <v>X</v>
      </c>
      <c r="M23" s="7"/>
      <c r="N23" s="12" t="str">
        <f t="shared" si="10"/>
        <v>X</v>
      </c>
      <c r="O23" s="7"/>
      <c r="P23" s="12" t="str">
        <f t="shared" si="11"/>
        <v>X</v>
      </c>
      <c r="Q23" s="7"/>
      <c r="R23" s="12" t="str">
        <f t="shared" si="12"/>
        <v>X</v>
      </c>
      <c r="S23" s="7"/>
      <c r="T23" s="12" t="str">
        <f t="shared" si="13"/>
        <v>X</v>
      </c>
      <c r="U23" s="7"/>
      <c r="V23" s="12" t="str">
        <f t="shared" si="14"/>
        <v>X</v>
      </c>
      <c r="W23" s="12"/>
      <c r="X23" s="19"/>
      <c r="Y23" s="7"/>
      <c r="Z23" s="12" t="str">
        <f t="shared" si="3"/>
        <v>X</v>
      </c>
      <c r="AA23" s="7"/>
      <c r="AB23" s="12" t="str">
        <f t="shared" si="4"/>
        <v>X</v>
      </c>
      <c r="AC23" s="7"/>
      <c r="AD23" s="12" t="str">
        <f t="shared" si="5"/>
        <v>X</v>
      </c>
      <c r="AE23" s="12"/>
      <c r="AF23" s="16"/>
    </row>
    <row r="24" spans="1:33" s="21" customFormat="1" x14ac:dyDescent="0.45">
      <c r="A24" s="5" t="s">
        <v>133</v>
      </c>
      <c r="B24" s="6" t="s">
        <v>134</v>
      </c>
      <c r="C24" s="7"/>
      <c r="D24" s="12" t="str">
        <f t="shared" si="15"/>
        <v>X</v>
      </c>
      <c r="E24" s="7"/>
      <c r="F24" s="12" t="str">
        <f t="shared" si="7"/>
        <v>X</v>
      </c>
      <c r="G24" s="7"/>
      <c r="H24" s="12" t="str">
        <f t="shared" si="8"/>
        <v>X</v>
      </c>
      <c r="I24" s="7"/>
      <c r="J24" s="12" t="str">
        <f t="shared" si="9"/>
        <v>X</v>
      </c>
      <c r="K24" s="7"/>
      <c r="L24" s="12" t="str">
        <f t="shared" si="0"/>
        <v>X</v>
      </c>
      <c r="M24" s="7"/>
      <c r="N24" s="12" t="str">
        <f t="shared" si="10"/>
        <v>X</v>
      </c>
      <c r="O24" s="7"/>
      <c r="P24" s="12" t="str">
        <f t="shared" si="11"/>
        <v>X</v>
      </c>
      <c r="Q24" s="7"/>
      <c r="R24" s="12" t="str">
        <f t="shared" si="12"/>
        <v>X</v>
      </c>
      <c r="S24" s="7"/>
      <c r="T24" s="12" t="str">
        <f t="shared" si="13"/>
        <v>X</v>
      </c>
      <c r="U24" s="7"/>
      <c r="V24" s="12" t="str">
        <f t="shared" si="14"/>
        <v>X</v>
      </c>
      <c r="W24" s="12"/>
      <c r="X24" s="19"/>
      <c r="Y24" s="7"/>
      <c r="Z24" s="12" t="str">
        <f t="shared" si="3"/>
        <v>X</v>
      </c>
      <c r="AA24" s="7"/>
      <c r="AB24" s="12" t="str">
        <f t="shared" si="4"/>
        <v>X</v>
      </c>
      <c r="AC24" s="7"/>
      <c r="AD24" s="12" t="str">
        <f t="shared" si="5"/>
        <v>X</v>
      </c>
      <c r="AE24" s="12"/>
      <c r="AF24" s="16"/>
    </row>
    <row r="25" spans="1:33" ht="14.25" customHeight="1" x14ac:dyDescent="0.45">
      <c r="A25" s="9" t="s">
        <v>11</v>
      </c>
      <c r="B25" s="6" t="s">
        <v>28</v>
      </c>
      <c r="C25" s="7"/>
      <c r="D25" s="12" t="str">
        <f t="shared" si="15"/>
        <v>X</v>
      </c>
      <c r="E25" s="7">
        <v>45748</v>
      </c>
      <c r="F25" s="12">
        <f t="shared" si="7"/>
        <v>46478</v>
      </c>
      <c r="G25" s="7">
        <v>46053</v>
      </c>
      <c r="H25" s="12">
        <f t="shared" si="8"/>
        <v>46783</v>
      </c>
      <c r="I25" s="7">
        <v>46066</v>
      </c>
      <c r="J25" s="12">
        <f t="shared" si="9"/>
        <v>46796</v>
      </c>
      <c r="K25" s="7">
        <v>46073</v>
      </c>
      <c r="L25" s="12">
        <f t="shared" si="0"/>
        <v>46803</v>
      </c>
      <c r="M25" s="7">
        <v>46074</v>
      </c>
      <c r="N25" s="12">
        <f t="shared" si="10"/>
        <v>46804</v>
      </c>
      <c r="O25" s="7">
        <v>46059</v>
      </c>
      <c r="P25" s="12">
        <f t="shared" si="11"/>
        <v>46424</v>
      </c>
      <c r="Q25" s="7">
        <v>45912</v>
      </c>
      <c r="R25" s="12">
        <f t="shared" si="12"/>
        <v>46277</v>
      </c>
      <c r="S25" s="7">
        <v>46072</v>
      </c>
      <c r="T25" s="12">
        <f t="shared" si="13"/>
        <v>46802</v>
      </c>
      <c r="U25" s="7">
        <v>45418</v>
      </c>
      <c r="V25" s="12">
        <f t="shared" si="14"/>
        <v>46148</v>
      </c>
      <c r="W25" s="12"/>
      <c r="X25" s="12"/>
      <c r="Y25" s="7"/>
      <c r="Z25" s="12" t="str">
        <f t="shared" si="3"/>
        <v>X</v>
      </c>
      <c r="AA25" s="7"/>
      <c r="AB25" s="12" t="str">
        <f t="shared" si="4"/>
        <v>X</v>
      </c>
      <c r="AC25" s="7"/>
      <c r="AD25" s="12" t="str">
        <f t="shared" si="5"/>
        <v>X</v>
      </c>
      <c r="AE25" s="12"/>
      <c r="AF25" s="16"/>
    </row>
    <row r="26" spans="1:33" x14ac:dyDescent="0.45">
      <c r="A26" s="5" t="s">
        <v>135</v>
      </c>
      <c r="B26" s="6" t="s">
        <v>136</v>
      </c>
      <c r="C26" s="7"/>
      <c r="D26" s="12" t="str">
        <f t="shared" si="15"/>
        <v>X</v>
      </c>
      <c r="E26" s="7">
        <v>46247</v>
      </c>
      <c r="F26" s="12">
        <f t="shared" si="7"/>
        <v>46978</v>
      </c>
      <c r="G26" s="7">
        <v>46247</v>
      </c>
      <c r="H26" s="12">
        <f t="shared" si="8"/>
        <v>46978</v>
      </c>
      <c r="I26" s="7"/>
      <c r="J26" s="12" t="str">
        <f t="shared" si="9"/>
        <v>X</v>
      </c>
      <c r="K26" s="7">
        <v>46248</v>
      </c>
      <c r="L26" s="12">
        <f t="shared" si="0"/>
        <v>46979</v>
      </c>
      <c r="M26" s="7">
        <v>46247</v>
      </c>
      <c r="N26" s="12">
        <f t="shared" si="10"/>
        <v>46978</v>
      </c>
      <c r="O26" s="7"/>
      <c r="P26" s="12" t="str">
        <f t="shared" si="11"/>
        <v>X</v>
      </c>
      <c r="Q26" s="7"/>
      <c r="R26" s="12" t="str">
        <f t="shared" si="12"/>
        <v>X</v>
      </c>
      <c r="S26" s="7"/>
      <c r="T26" s="12" t="str">
        <f t="shared" si="13"/>
        <v>X</v>
      </c>
      <c r="U26" s="7"/>
      <c r="V26" s="12" t="str">
        <f t="shared" si="14"/>
        <v>X</v>
      </c>
      <c r="W26" s="12"/>
      <c r="X26" s="12"/>
      <c r="Y26" s="7"/>
      <c r="Z26" s="12" t="str">
        <f t="shared" si="3"/>
        <v>X</v>
      </c>
      <c r="AA26" s="7"/>
      <c r="AB26" s="12" t="str">
        <f t="shared" si="4"/>
        <v>X</v>
      </c>
      <c r="AC26" s="7"/>
      <c r="AD26" s="12" t="str">
        <f t="shared" si="5"/>
        <v>X</v>
      </c>
      <c r="AE26" s="12"/>
      <c r="AF26" s="12"/>
      <c r="AG26" s="12"/>
    </row>
    <row r="27" spans="1:33" x14ac:dyDescent="0.45">
      <c r="A27" s="9" t="s">
        <v>12</v>
      </c>
      <c r="B27" s="6" t="s">
        <v>13</v>
      </c>
      <c r="C27" s="7"/>
      <c r="D27" s="12" t="str">
        <f t="shared" si="15"/>
        <v>X</v>
      </c>
      <c r="E27" s="7">
        <v>45727</v>
      </c>
      <c r="F27" s="12">
        <f t="shared" si="7"/>
        <v>46457</v>
      </c>
      <c r="G27" s="7">
        <v>45742</v>
      </c>
      <c r="H27" s="12">
        <f t="shared" si="8"/>
        <v>46472</v>
      </c>
      <c r="I27" s="7"/>
      <c r="J27" s="12" t="str">
        <f t="shared" si="9"/>
        <v>X</v>
      </c>
      <c r="K27" s="7">
        <v>45726</v>
      </c>
      <c r="L27" s="12">
        <f t="shared" si="0"/>
        <v>46456</v>
      </c>
      <c r="M27" s="7">
        <v>45656</v>
      </c>
      <c r="N27" s="12">
        <f t="shared" si="10"/>
        <v>46386</v>
      </c>
      <c r="O27" s="7">
        <v>46038</v>
      </c>
      <c r="P27" s="12">
        <f t="shared" si="11"/>
        <v>46403</v>
      </c>
      <c r="Q27" s="7">
        <v>46031</v>
      </c>
      <c r="R27" s="12">
        <f t="shared" si="12"/>
        <v>46396</v>
      </c>
      <c r="S27" s="7">
        <v>45728</v>
      </c>
      <c r="T27" s="12">
        <f t="shared" si="13"/>
        <v>46458</v>
      </c>
      <c r="U27" s="7">
        <v>46027</v>
      </c>
      <c r="V27" s="12">
        <f t="shared" si="14"/>
        <v>46757</v>
      </c>
      <c r="W27" s="12"/>
      <c r="X27" s="12"/>
      <c r="Y27" s="7"/>
      <c r="Z27" s="12" t="str">
        <f t="shared" si="3"/>
        <v>X</v>
      </c>
      <c r="AA27" s="7"/>
      <c r="AB27" s="12" t="str">
        <f t="shared" si="4"/>
        <v>X</v>
      </c>
      <c r="AC27" s="7"/>
      <c r="AD27" s="12" t="str">
        <f t="shared" si="5"/>
        <v>X</v>
      </c>
      <c r="AE27" s="12"/>
      <c r="AF27" s="16"/>
    </row>
    <row r="28" spans="1:33" x14ac:dyDescent="0.45">
      <c r="A28" s="9" t="s">
        <v>109</v>
      </c>
      <c r="B28" s="6" t="s">
        <v>72</v>
      </c>
      <c r="C28" s="7"/>
      <c r="D28" s="12" t="str">
        <f t="shared" si="15"/>
        <v>X</v>
      </c>
      <c r="E28" s="7">
        <v>46244</v>
      </c>
      <c r="F28" s="12">
        <f t="shared" si="7"/>
        <v>46975</v>
      </c>
      <c r="G28" s="7">
        <v>45961</v>
      </c>
      <c r="H28" s="12">
        <f t="shared" si="8"/>
        <v>46691</v>
      </c>
      <c r="I28" s="7"/>
      <c r="J28" s="12" t="str">
        <f t="shared" si="9"/>
        <v>X</v>
      </c>
      <c r="K28" s="7"/>
      <c r="L28" s="12" t="str">
        <f t="shared" si="0"/>
        <v>X</v>
      </c>
      <c r="M28" s="7">
        <v>45961</v>
      </c>
      <c r="N28" s="12">
        <f t="shared" si="10"/>
        <v>46691</v>
      </c>
      <c r="O28" s="7">
        <v>45957</v>
      </c>
      <c r="P28" s="12">
        <f t="shared" si="11"/>
        <v>46322</v>
      </c>
      <c r="Q28" s="7">
        <v>45965</v>
      </c>
      <c r="R28" s="12">
        <f t="shared" si="12"/>
        <v>46330</v>
      </c>
      <c r="S28" s="7">
        <v>45959</v>
      </c>
      <c r="T28" s="12">
        <f t="shared" si="13"/>
        <v>46689</v>
      </c>
      <c r="U28" s="7"/>
      <c r="V28" s="12" t="str">
        <f t="shared" si="14"/>
        <v>X</v>
      </c>
      <c r="W28" s="12"/>
      <c r="X28" s="12"/>
      <c r="Y28" s="7"/>
      <c r="Z28" s="12" t="str">
        <f t="shared" si="3"/>
        <v>X</v>
      </c>
      <c r="AA28" s="7"/>
      <c r="AB28" s="12" t="str">
        <f t="shared" si="4"/>
        <v>X</v>
      </c>
      <c r="AC28" s="7"/>
      <c r="AD28" s="12" t="str">
        <f t="shared" si="5"/>
        <v>X</v>
      </c>
      <c r="AE28" s="12"/>
      <c r="AF28" s="16"/>
    </row>
    <row r="29" spans="1:33" x14ac:dyDescent="0.45">
      <c r="A29" s="9" t="s">
        <v>15</v>
      </c>
      <c r="B29" s="6" t="s">
        <v>10</v>
      </c>
      <c r="C29" s="7"/>
      <c r="D29" s="12" t="str">
        <f t="shared" si="15"/>
        <v>X</v>
      </c>
      <c r="E29" s="7">
        <v>45819</v>
      </c>
      <c r="F29" s="12">
        <f t="shared" si="7"/>
        <v>46549</v>
      </c>
      <c r="G29" s="7">
        <v>45818</v>
      </c>
      <c r="H29" s="12">
        <f t="shared" si="8"/>
        <v>46548</v>
      </c>
      <c r="I29" s="7"/>
      <c r="J29" s="12" t="str">
        <f t="shared" si="9"/>
        <v>X</v>
      </c>
      <c r="K29" s="7">
        <v>45643</v>
      </c>
      <c r="L29" s="12">
        <f t="shared" si="0"/>
        <v>46373</v>
      </c>
      <c r="M29" s="7">
        <v>45819</v>
      </c>
      <c r="N29" s="12">
        <f t="shared" si="10"/>
        <v>46549</v>
      </c>
      <c r="O29" s="7">
        <v>46113</v>
      </c>
      <c r="P29" s="12">
        <f t="shared" si="11"/>
        <v>46478</v>
      </c>
      <c r="Q29" s="7">
        <v>46031</v>
      </c>
      <c r="R29" s="12">
        <f t="shared" si="12"/>
        <v>46396</v>
      </c>
      <c r="S29" s="7">
        <v>45939</v>
      </c>
      <c r="T29" s="12">
        <f t="shared" si="13"/>
        <v>46669</v>
      </c>
      <c r="U29" s="7">
        <v>46043</v>
      </c>
      <c r="V29" s="12">
        <f t="shared" si="14"/>
        <v>46773</v>
      </c>
      <c r="W29" s="12"/>
      <c r="X29" s="12"/>
      <c r="Y29" s="7"/>
      <c r="Z29" s="12" t="str">
        <f t="shared" si="3"/>
        <v>X</v>
      </c>
      <c r="AA29" s="7">
        <v>46029</v>
      </c>
      <c r="AB29" s="12">
        <f t="shared" ref="AB29:AB107" si="16">IF(YEAR(AA29) &lt;= 1990, "X", DATE(YEAR(AA29)+2, MONTH(AA29), DAY(AA29)))</f>
        <v>46759</v>
      </c>
      <c r="AC29" s="7"/>
      <c r="AD29" s="12" t="str">
        <f t="shared" si="5"/>
        <v>X</v>
      </c>
      <c r="AE29" s="12"/>
      <c r="AF29" s="12">
        <v>46127</v>
      </c>
    </row>
    <row r="30" spans="1:33" x14ac:dyDescent="0.45">
      <c r="A30" s="9" t="s">
        <v>206</v>
      </c>
      <c r="B30" s="6" t="s">
        <v>207</v>
      </c>
      <c r="C30" s="7"/>
      <c r="D30" s="12" t="str">
        <f t="shared" si="15"/>
        <v>X</v>
      </c>
      <c r="E30" s="7">
        <v>46041</v>
      </c>
      <c r="F30" s="12">
        <f t="shared" si="7"/>
        <v>46771</v>
      </c>
      <c r="G30" s="7">
        <v>46055</v>
      </c>
      <c r="H30" s="12">
        <f t="shared" si="8"/>
        <v>46785</v>
      </c>
      <c r="I30" s="7"/>
      <c r="J30" s="12"/>
      <c r="K30" s="7"/>
      <c r="L30" s="12"/>
      <c r="M30" s="7">
        <v>46056</v>
      </c>
      <c r="N30" s="12">
        <f t="shared" si="10"/>
        <v>46786</v>
      </c>
      <c r="O30" s="7"/>
      <c r="P30" s="12"/>
      <c r="Q30" s="7"/>
      <c r="R30" s="12"/>
      <c r="S30" s="7"/>
      <c r="T30" s="12"/>
      <c r="U30" s="7"/>
      <c r="V30" s="12"/>
      <c r="W30" s="12"/>
      <c r="X30" s="12"/>
      <c r="Y30" s="7"/>
      <c r="Z30" s="12"/>
      <c r="AA30" s="7"/>
      <c r="AB30" s="12"/>
      <c r="AC30" s="7"/>
      <c r="AD30" s="12"/>
      <c r="AE30" s="12"/>
      <c r="AF30" s="12"/>
    </row>
    <row r="31" spans="1:33" x14ac:dyDescent="0.45">
      <c r="A31" s="20" t="s">
        <v>194</v>
      </c>
      <c r="B31" s="6"/>
      <c r="C31" s="7"/>
      <c r="D31" s="12"/>
      <c r="E31" s="7"/>
      <c r="F31" s="12"/>
      <c r="G31" s="7"/>
      <c r="H31" s="12"/>
      <c r="I31" s="7"/>
      <c r="J31" s="12"/>
      <c r="K31" s="7"/>
      <c r="L31" s="12"/>
      <c r="M31" s="7"/>
      <c r="N31" s="12"/>
      <c r="O31" s="7"/>
      <c r="P31" s="12"/>
      <c r="Q31" s="7"/>
      <c r="R31" s="12"/>
      <c r="S31" s="7"/>
      <c r="T31" s="12"/>
      <c r="U31" s="7"/>
      <c r="V31" s="12"/>
      <c r="W31" s="12"/>
      <c r="X31" s="12"/>
      <c r="Y31" s="7"/>
      <c r="Z31" s="12"/>
      <c r="AA31" s="7"/>
      <c r="AB31" s="12"/>
      <c r="AC31" s="7"/>
      <c r="AD31" s="12"/>
      <c r="AE31" s="12"/>
      <c r="AF31" s="16"/>
    </row>
    <row r="32" spans="1:33" x14ac:dyDescent="0.45">
      <c r="A32" s="5" t="s">
        <v>61</v>
      </c>
      <c r="B32" s="6" t="s">
        <v>24</v>
      </c>
      <c r="C32" s="7"/>
      <c r="D32" s="12" t="str">
        <f t="shared" ref="D32:D65" si="17">IF(YEAR(C32) &lt;= 1990, "X", DATE(YEAR(C32)+2, MONTH(C32), DAY(C32)))</f>
        <v>X</v>
      </c>
      <c r="E32" s="7">
        <v>45523</v>
      </c>
      <c r="F32" s="12">
        <f t="shared" si="7"/>
        <v>46253</v>
      </c>
      <c r="G32" s="7">
        <v>45523</v>
      </c>
      <c r="H32" s="12">
        <f t="shared" si="8"/>
        <v>46253</v>
      </c>
      <c r="I32" s="7"/>
      <c r="J32" s="12" t="str">
        <f t="shared" si="9"/>
        <v>X</v>
      </c>
      <c r="K32" s="7"/>
      <c r="L32" s="12" t="str">
        <f t="shared" si="0"/>
        <v>X</v>
      </c>
      <c r="M32" s="7">
        <v>45524</v>
      </c>
      <c r="N32" s="12">
        <f t="shared" si="10"/>
        <v>46254</v>
      </c>
      <c r="O32" s="7">
        <v>45860</v>
      </c>
      <c r="P32" s="12">
        <f t="shared" si="11"/>
        <v>46225</v>
      </c>
      <c r="Q32" s="7"/>
      <c r="R32" s="12" t="str">
        <f t="shared" si="12"/>
        <v>X</v>
      </c>
      <c r="S32" s="7">
        <v>45862</v>
      </c>
      <c r="T32" s="12">
        <f t="shared" si="13"/>
        <v>46592</v>
      </c>
      <c r="U32" s="7"/>
      <c r="V32" s="12" t="str">
        <f t="shared" si="14"/>
        <v>X</v>
      </c>
      <c r="W32" s="12"/>
      <c r="X32" s="12"/>
      <c r="Y32" s="7"/>
      <c r="Z32" s="12" t="str">
        <f t="shared" si="3"/>
        <v>X</v>
      </c>
      <c r="AA32" s="7"/>
      <c r="AB32" s="12" t="str">
        <f t="shared" si="16"/>
        <v>X</v>
      </c>
      <c r="AC32" s="7"/>
      <c r="AD32" s="12" t="str">
        <f t="shared" si="5"/>
        <v>X</v>
      </c>
      <c r="AE32" s="12">
        <v>46119</v>
      </c>
      <c r="AF32" s="16"/>
    </row>
    <row r="33" spans="1:33" x14ac:dyDescent="0.45">
      <c r="A33" s="9" t="s">
        <v>16</v>
      </c>
      <c r="B33" s="6" t="s">
        <v>17</v>
      </c>
      <c r="C33" s="7"/>
      <c r="D33" s="12" t="str">
        <f t="shared" si="17"/>
        <v>X</v>
      </c>
      <c r="E33" s="7">
        <v>45793</v>
      </c>
      <c r="F33" s="12">
        <f t="shared" si="7"/>
        <v>46523</v>
      </c>
      <c r="G33" s="7">
        <v>45749</v>
      </c>
      <c r="H33" s="12">
        <f t="shared" si="8"/>
        <v>46479</v>
      </c>
      <c r="I33" s="7"/>
      <c r="J33" s="12" t="str">
        <f t="shared" si="9"/>
        <v>X</v>
      </c>
      <c r="K33" s="7">
        <v>46112</v>
      </c>
      <c r="L33" s="12">
        <f t="shared" si="0"/>
        <v>46843</v>
      </c>
      <c r="M33" s="7">
        <v>45432</v>
      </c>
      <c r="N33" s="12">
        <f t="shared" si="10"/>
        <v>46162</v>
      </c>
      <c r="O33" s="7">
        <v>46113</v>
      </c>
      <c r="P33" s="12">
        <f t="shared" si="11"/>
        <v>46478</v>
      </c>
      <c r="Q33" s="7">
        <v>45481</v>
      </c>
      <c r="R33" s="12">
        <f t="shared" si="12"/>
        <v>45846</v>
      </c>
      <c r="S33" s="7">
        <v>45748</v>
      </c>
      <c r="T33" s="12">
        <f t="shared" si="13"/>
        <v>46478</v>
      </c>
      <c r="U33" s="7">
        <v>45749</v>
      </c>
      <c r="V33" s="12">
        <f t="shared" si="14"/>
        <v>46479</v>
      </c>
      <c r="W33" s="12"/>
      <c r="X33" s="12"/>
      <c r="Y33" s="7"/>
      <c r="Z33" s="12" t="str">
        <f t="shared" si="3"/>
        <v>X</v>
      </c>
      <c r="AA33" s="7"/>
      <c r="AB33" s="12" t="str">
        <f t="shared" si="16"/>
        <v>X</v>
      </c>
      <c r="AC33" s="7"/>
      <c r="AD33" s="12" t="str">
        <f t="shared" si="5"/>
        <v>X</v>
      </c>
      <c r="AE33" s="12"/>
      <c r="AF33" s="16"/>
    </row>
    <row r="34" spans="1:33" x14ac:dyDescent="0.45">
      <c r="A34" s="5" t="s">
        <v>14</v>
      </c>
      <c r="B34" s="6" t="s">
        <v>178</v>
      </c>
      <c r="C34" s="7"/>
      <c r="D34" s="12" t="str">
        <f t="shared" si="17"/>
        <v>X</v>
      </c>
      <c r="E34" s="7">
        <v>45276</v>
      </c>
      <c r="F34" s="12">
        <f t="shared" si="7"/>
        <v>46007</v>
      </c>
      <c r="G34" s="7">
        <v>45019</v>
      </c>
      <c r="H34" s="12">
        <f t="shared" si="8"/>
        <v>45750</v>
      </c>
      <c r="I34" s="7"/>
      <c r="J34" s="12" t="str">
        <f t="shared" si="9"/>
        <v>X</v>
      </c>
      <c r="K34" s="7"/>
      <c r="L34" s="12" t="str">
        <f t="shared" si="0"/>
        <v>X</v>
      </c>
      <c r="M34" s="7">
        <v>45398</v>
      </c>
      <c r="N34" s="12">
        <f t="shared" si="10"/>
        <v>46128</v>
      </c>
      <c r="O34" s="7"/>
      <c r="P34" s="12" t="str">
        <f t="shared" si="11"/>
        <v>X</v>
      </c>
      <c r="Q34" s="7"/>
      <c r="R34" s="12" t="str">
        <f t="shared" si="12"/>
        <v>X</v>
      </c>
      <c r="S34" s="7">
        <v>44988</v>
      </c>
      <c r="T34" s="12">
        <f t="shared" si="13"/>
        <v>45719</v>
      </c>
      <c r="U34" s="7"/>
      <c r="V34" s="12" t="str">
        <f t="shared" si="14"/>
        <v>X</v>
      </c>
      <c r="W34" s="12"/>
      <c r="X34" s="12"/>
      <c r="Y34" s="7"/>
      <c r="Z34" s="12" t="str">
        <f t="shared" si="3"/>
        <v>X</v>
      </c>
      <c r="AA34" s="7"/>
      <c r="AB34" s="12" t="str">
        <f t="shared" si="16"/>
        <v>X</v>
      </c>
      <c r="AC34" s="7"/>
      <c r="AD34" s="12" t="str">
        <f t="shared" si="5"/>
        <v>X</v>
      </c>
      <c r="AE34" s="12">
        <v>46119</v>
      </c>
      <c r="AF34" s="16"/>
    </row>
    <row r="35" spans="1:33" s="21" customFormat="1" x14ac:dyDescent="0.45">
      <c r="A35" s="20" t="s">
        <v>137</v>
      </c>
      <c r="B35" s="6" t="s">
        <v>138</v>
      </c>
      <c r="C35" s="7"/>
      <c r="D35" s="12" t="str">
        <f t="shared" si="17"/>
        <v>X</v>
      </c>
      <c r="E35" s="7"/>
      <c r="F35" s="12" t="str">
        <f t="shared" si="7"/>
        <v>X</v>
      </c>
      <c r="G35" s="7"/>
      <c r="H35" s="12" t="str">
        <f t="shared" si="8"/>
        <v>X</v>
      </c>
      <c r="I35" s="7"/>
      <c r="J35" s="12" t="str">
        <f t="shared" si="9"/>
        <v>X</v>
      </c>
      <c r="K35" s="7"/>
      <c r="L35" s="12" t="str">
        <f t="shared" si="0"/>
        <v>X</v>
      </c>
      <c r="M35" s="7"/>
      <c r="N35" s="12" t="str">
        <f t="shared" si="10"/>
        <v>X</v>
      </c>
      <c r="O35" s="7"/>
      <c r="P35" s="12" t="str">
        <f t="shared" si="11"/>
        <v>X</v>
      </c>
      <c r="Q35" s="7"/>
      <c r="R35" s="12" t="str">
        <f t="shared" si="12"/>
        <v>X</v>
      </c>
      <c r="S35" s="7"/>
      <c r="T35" s="12" t="str">
        <f t="shared" si="13"/>
        <v>X</v>
      </c>
      <c r="U35" s="7"/>
      <c r="V35" s="12" t="str">
        <f t="shared" si="14"/>
        <v>X</v>
      </c>
      <c r="W35" s="12"/>
      <c r="X35" s="19"/>
      <c r="Y35" s="7"/>
      <c r="Z35" s="12" t="str">
        <f t="shared" si="3"/>
        <v>X</v>
      </c>
      <c r="AA35" s="7"/>
      <c r="AB35" s="12" t="str">
        <f t="shared" si="16"/>
        <v>X</v>
      </c>
      <c r="AC35" s="7"/>
      <c r="AD35" s="12" t="str">
        <f t="shared" si="5"/>
        <v>X</v>
      </c>
      <c r="AE35" s="12"/>
      <c r="AF35" s="12"/>
      <c r="AG35" s="12"/>
    </row>
    <row r="36" spans="1:33" x14ac:dyDescent="0.45">
      <c r="A36" s="9" t="s">
        <v>99</v>
      </c>
      <c r="B36" s="6" t="s">
        <v>100</v>
      </c>
      <c r="C36" s="7"/>
      <c r="D36" s="12" t="str">
        <f t="shared" si="17"/>
        <v>X</v>
      </c>
      <c r="E36" s="7">
        <v>45839</v>
      </c>
      <c r="F36" s="12">
        <f t="shared" si="7"/>
        <v>46569</v>
      </c>
      <c r="G36" s="7">
        <v>45839</v>
      </c>
      <c r="H36" s="12">
        <f t="shared" si="8"/>
        <v>46569</v>
      </c>
      <c r="I36" s="7"/>
      <c r="J36" s="12" t="str">
        <f t="shared" si="9"/>
        <v>X</v>
      </c>
      <c r="K36" s="7">
        <v>45840</v>
      </c>
      <c r="L36" s="12">
        <f t="shared" si="0"/>
        <v>46570</v>
      </c>
      <c r="M36" s="7">
        <v>45848</v>
      </c>
      <c r="N36" s="12">
        <f t="shared" si="10"/>
        <v>46578</v>
      </c>
      <c r="O36" s="7">
        <v>46162</v>
      </c>
      <c r="P36" s="12">
        <f t="shared" si="11"/>
        <v>46527</v>
      </c>
      <c r="Q36" s="7">
        <v>46228</v>
      </c>
      <c r="R36" s="12">
        <f t="shared" si="12"/>
        <v>46593</v>
      </c>
      <c r="S36" s="7">
        <v>45841</v>
      </c>
      <c r="T36" s="12">
        <f t="shared" si="13"/>
        <v>46571</v>
      </c>
      <c r="U36" s="7"/>
      <c r="V36" s="12" t="str">
        <f t="shared" si="14"/>
        <v>X</v>
      </c>
      <c r="W36" s="12"/>
      <c r="X36" s="12"/>
      <c r="Y36" s="7"/>
      <c r="Z36" s="12" t="str">
        <f t="shared" si="3"/>
        <v>X</v>
      </c>
      <c r="AA36" s="7"/>
      <c r="AB36" s="12" t="str">
        <f t="shared" si="16"/>
        <v>X</v>
      </c>
      <c r="AC36" s="7"/>
      <c r="AD36" s="12" t="str">
        <f t="shared" si="5"/>
        <v>X</v>
      </c>
      <c r="AE36" s="12"/>
      <c r="AF36" s="12">
        <v>46127</v>
      </c>
      <c r="AG36" s="12"/>
    </row>
    <row r="37" spans="1:33" x14ac:dyDescent="0.45">
      <c r="A37" s="9" t="s">
        <v>210</v>
      </c>
      <c r="B37" s="6" t="s">
        <v>72</v>
      </c>
      <c r="C37" s="7"/>
      <c r="D37" s="12" t="str">
        <f t="shared" si="17"/>
        <v>X</v>
      </c>
      <c r="E37" s="7">
        <v>46174</v>
      </c>
      <c r="F37" s="12">
        <f t="shared" si="7"/>
        <v>46905</v>
      </c>
      <c r="G37" s="7">
        <v>46174</v>
      </c>
      <c r="H37" s="12">
        <f t="shared" si="8"/>
        <v>46905</v>
      </c>
      <c r="I37" s="7"/>
      <c r="J37" s="12"/>
      <c r="K37" s="7">
        <v>46184</v>
      </c>
      <c r="L37" s="12">
        <f t="shared" si="0"/>
        <v>46915</v>
      </c>
      <c r="M37" s="7">
        <v>46174</v>
      </c>
      <c r="N37" s="12">
        <f t="shared" si="10"/>
        <v>46905</v>
      </c>
      <c r="O37" s="7">
        <v>46175</v>
      </c>
      <c r="P37" s="12">
        <f t="shared" si="11"/>
        <v>46540</v>
      </c>
      <c r="Q37" s="7">
        <v>46181</v>
      </c>
      <c r="R37" s="12">
        <f t="shared" si="12"/>
        <v>46546</v>
      </c>
      <c r="S37" s="7">
        <v>46178</v>
      </c>
      <c r="T37" s="12">
        <f t="shared" si="13"/>
        <v>46909</v>
      </c>
      <c r="U37" s="7"/>
      <c r="V37" s="12"/>
      <c r="W37" s="12"/>
      <c r="X37" s="12"/>
      <c r="Y37" s="7"/>
      <c r="Z37" s="12"/>
      <c r="AA37" s="7">
        <v>46211</v>
      </c>
      <c r="AB37" s="12">
        <f t="shared" si="16"/>
        <v>46942</v>
      </c>
      <c r="AC37" s="7"/>
      <c r="AD37" s="12"/>
      <c r="AE37" s="12"/>
      <c r="AF37" s="12"/>
      <c r="AG37" s="12"/>
    </row>
    <row r="38" spans="1:33" x14ac:dyDescent="0.45">
      <c r="A38" s="9" t="s">
        <v>214</v>
      </c>
      <c r="B38" s="6" t="s">
        <v>215</v>
      </c>
      <c r="C38" s="7"/>
      <c r="D38" s="12" t="str">
        <f t="shared" si="17"/>
        <v>X</v>
      </c>
      <c r="E38" s="7">
        <v>46206</v>
      </c>
      <c r="F38" s="12">
        <f t="shared" si="7"/>
        <v>46937</v>
      </c>
      <c r="G38" s="7">
        <v>46206</v>
      </c>
      <c r="H38" s="12">
        <f t="shared" si="8"/>
        <v>46937</v>
      </c>
      <c r="I38" s="7"/>
      <c r="J38" s="12"/>
      <c r="K38" s="7"/>
      <c r="L38" s="12"/>
      <c r="M38" s="7">
        <v>46206</v>
      </c>
      <c r="N38" s="12">
        <f t="shared" si="10"/>
        <v>46937</v>
      </c>
      <c r="O38" s="7"/>
      <c r="P38" s="12"/>
      <c r="Q38" s="7"/>
      <c r="R38" s="12"/>
      <c r="S38" s="7"/>
      <c r="T38" s="12"/>
      <c r="U38" s="7"/>
      <c r="V38" s="12"/>
      <c r="W38" s="12"/>
      <c r="X38" s="12"/>
      <c r="Y38" s="7"/>
      <c r="Z38" s="12"/>
      <c r="AA38" s="7"/>
      <c r="AB38" s="12" t="str">
        <f t="shared" si="16"/>
        <v>X</v>
      </c>
      <c r="AC38" s="7"/>
      <c r="AD38" s="12"/>
      <c r="AE38" s="12"/>
      <c r="AF38" s="12"/>
      <c r="AG38" s="12"/>
    </row>
    <row r="39" spans="1:33" s="21" customFormat="1" x14ac:dyDescent="0.45">
      <c r="A39" s="20" t="s">
        <v>139</v>
      </c>
      <c r="B39" s="6" t="s">
        <v>140</v>
      </c>
      <c r="C39" s="7"/>
      <c r="D39" s="12" t="str">
        <f t="shared" si="17"/>
        <v>X</v>
      </c>
      <c r="E39" s="7"/>
      <c r="F39" s="12" t="str">
        <f t="shared" si="7"/>
        <v>X</v>
      </c>
      <c r="G39" s="7"/>
      <c r="H39" s="12" t="str">
        <f t="shared" si="8"/>
        <v>X</v>
      </c>
      <c r="I39" s="7"/>
      <c r="J39" s="12" t="str">
        <f t="shared" si="9"/>
        <v>X</v>
      </c>
      <c r="K39" s="7"/>
      <c r="L39" s="12" t="str">
        <f t="shared" si="0"/>
        <v>X</v>
      </c>
      <c r="M39" s="7"/>
      <c r="N39" s="12" t="str">
        <f t="shared" si="10"/>
        <v>X</v>
      </c>
      <c r="O39" s="7"/>
      <c r="P39" s="12" t="str">
        <f t="shared" si="11"/>
        <v>X</v>
      </c>
      <c r="Q39" s="7"/>
      <c r="R39" s="12" t="str">
        <f t="shared" si="12"/>
        <v>X</v>
      </c>
      <c r="S39" s="7"/>
      <c r="T39" s="12" t="str">
        <f t="shared" si="13"/>
        <v>X</v>
      </c>
      <c r="U39" s="7"/>
      <c r="V39" s="12" t="str">
        <f t="shared" si="14"/>
        <v>X</v>
      </c>
      <c r="W39" s="12"/>
      <c r="X39" s="19"/>
      <c r="Y39" s="7"/>
      <c r="Z39" s="12" t="str">
        <f t="shared" si="3"/>
        <v>X</v>
      </c>
      <c r="AA39" s="7"/>
      <c r="AB39" s="12" t="str">
        <f t="shared" si="16"/>
        <v>X</v>
      </c>
      <c r="AC39" s="7"/>
      <c r="AD39" s="12" t="str">
        <f t="shared" si="5"/>
        <v>X</v>
      </c>
      <c r="AE39" s="12"/>
      <c r="AF39" s="12"/>
      <c r="AG39" s="12"/>
    </row>
    <row r="40" spans="1:33" s="18" customFormat="1" x14ac:dyDescent="0.45">
      <c r="A40" s="9" t="s">
        <v>103</v>
      </c>
      <c r="B40" s="6" t="s">
        <v>37</v>
      </c>
      <c r="C40" s="7"/>
      <c r="D40" s="12" t="str">
        <f t="shared" si="17"/>
        <v>X</v>
      </c>
      <c r="E40" s="7">
        <v>45957</v>
      </c>
      <c r="F40" s="12">
        <f t="shared" si="7"/>
        <v>46687</v>
      </c>
      <c r="G40" s="7">
        <v>45957</v>
      </c>
      <c r="H40" s="12">
        <f t="shared" si="8"/>
        <v>46687</v>
      </c>
      <c r="I40" s="7"/>
      <c r="J40" s="12" t="str">
        <f t="shared" si="9"/>
        <v>X</v>
      </c>
      <c r="K40" s="7">
        <v>45954</v>
      </c>
      <c r="L40" s="12">
        <f t="shared" si="0"/>
        <v>46684</v>
      </c>
      <c r="M40" s="7">
        <v>45958</v>
      </c>
      <c r="N40" s="12">
        <f t="shared" si="10"/>
        <v>46688</v>
      </c>
      <c r="O40" s="7">
        <v>45959</v>
      </c>
      <c r="P40" s="12">
        <f t="shared" si="11"/>
        <v>46324</v>
      </c>
      <c r="Q40" s="7">
        <v>46034</v>
      </c>
      <c r="R40" s="12">
        <f t="shared" si="12"/>
        <v>46399</v>
      </c>
      <c r="S40" s="7">
        <v>45961</v>
      </c>
      <c r="T40" s="12">
        <f t="shared" si="13"/>
        <v>46691</v>
      </c>
      <c r="U40" s="7"/>
      <c r="V40" s="12" t="str">
        <f t="shared" si="14"/>
        <v>X</v>
      </c>
      <c r="W40" s="12"/>
      <c r="X40" s="17"/>
      <c r="Y40" s="7"/>
      <c r="Z40" s="12" t="str">
        <f t="shared" si="3"/>
        <v>X</v>
      </c>
      <c r="AA40" s="7"/>
      <c r="AB40" s="12" t="str">
        <f t="shared" si="16"/>
        <v>X</v>
      </c>
      <c r="AC40" s="7"/>
      <c r="AD40" s="12" t="str">
        <f t="shared" si="5"/>
        <v>X</v>
      </c>
      <c r="AE40" s="12"/>
      <c r="AF40" s="12"/>
      <c r="AG40" s="12"/>
    </row>
    <row r="41" spans="1:33" x14ac:dyDescent="0.45">
      <c r="A41" s="9" t="s">
        <v>21</v>
      </c>
      <c r="B41" s="6" t="s">
        <v>13</v>
      </c>
      <c r="C41" s="7"/>
      <c r="D41" s="12" t="str">
        <f t="shared" si="17"/>
        <v>X</v>
      </c>
      <c r="E41" s="7">
        <v>45587</v>
      </c>
      <c r="F41" s="12">
        <f t="shared" si="7"/>
        <v>46317</v>
      </c>
      <c r="G41" s="7">
        <v>45742</v>
      </c>
      <c r="H41" s="12">
        <f t="shared" si="8"/>
        <v>46472</v>
      </c>
      <c r="I41" s="7"/>
      <c r="J41" s="12" t="str">
        <f t="shared" si="9"/>
        <v>X</v>
      </c>
      <c r="K41" s="7">
        <v>46066</v>
      </c>
      <c r="L41" s="12">
        <f t="shared" si="0"/>
        <v>46796</v>
      </c>
      <c r="M41" s="7">
        <v>45656</v>
      </c>
      <c r="N41" s="12">
        <f t="shared" si="10"/>
        <v>46386</v>
      </c>
      <c r="O41" s="7">
        <v>46059</v>
      </c>
      <c r="P41" s="12">
        <f t="shared" si="11"/>
        <v>46424</v>
      </c>
      <c r="Q41" s="7">
        <v>46055</v>
      </c>
      <c r="R41" s="12">
        <f t="shared" si="12"/>
        <v>46420</v>
      </c>
      <c r="S41" s="7">
        <v>46065</v>
      </c>
      <c r="T41" s="12">
        <f t="shared" si="13"/>
        <v>46795</v>
      </c>
      <c r="U41" s="7">
        <v>46069</v>
      </c>
      <c r="V41" s="12">
        <f t="shared" si="14"/>
        <v>46799</v>
      </c>
      <c r="W41" s="12"/>
      <c r="X41" s="12"/>
      <c r="Y41" s="7"/>
      <c r="Z41" s="12" t="str">
        <f t="shared" si="3"/>
        <v>X</v>
      </c>
      <c r="AA41" s="7">
        <v>45411</v>
      </c>
      <c r="AB41" s="12">
        <f t="shared" si="16"/>
        <v>46141</v>
      </c>
      <c r="AC41" s="7"/>
      <c r="AD41" s="12" t="str">
        <f t="shared" si="5"/>
        <v>X</v>
      </c>
      <c r="AE41" s="12"/>
      <c r="AF41" s="12">
        <v>45834</v>
      </c>
    </row>
    <row r="42" spans="1:33" x14ac:dyDescent="0.45">
      <c r="A42" s="9" t="s">
        <v>19</v>
      </c>
      <c r="B42" s="6" t="s">
        <v>20</v>
      </c>
      <c r="C42" s="7"/>
      <c r="D42" s="12" t="str">
        <f t="shared" si="17"/>
        <v>X</v>
      </c>
      <c r="E42" s="7">
        <v>45726</v>
      </c>
      <c r="F42" s="12">
        <f t="shared" si="7"/>
        <v>46456</v>
      </c>
      <c r="G42" s="7">
        <v>45742</v>
      </c>
      <c r="H42" s="12">
        <f t="shared" si="8"/>
        <v>46472</v>
      </c>
      <c r="I42" s="7"/>
      <c r="J42" s="12" t="str">
        <f t="shared" si="9"/>
        <v>X</v>
      </c>
      <c r="K42" s="7">
        <v>45881</v>
      </c>
      <c r="L42" s="12">
        <f t="shared" si="0"/>
        <v>46611</v>
      </c>
      <c r="M42" s="7">
        <v>45722</v>
      </c>
      <c r="N42" s="12">
        <f t="shared" si="10"/>
        <v>46452</v>
      </c>
      <c r="O42" s="7">
        <v>46193</v>
      </c>
      <c r="P42" s="12">
        <f t="shared" si="11"/>
        <v>46558</v>
      </c>
      <c r="Q42" s="7">
        <v>46031</v>
      </c>
      <c r="R42" s="12">
        <f t="shared" si="12"/>
        <v>46396</v>
      </c>
      <c r="S42" s="7">
        <v>45751</v>
      </c>
      <c r="T42" s="12">
        <f t="shared" si="13"/>
        <v>46481</v>
      </c>
      <c r="U42" s="7"/>
      <c r="V42" s="12" t="str">
        <f t="shared" si="14"/>
        <v>X</v>
      </c>
      <c r="W42" s="12"/>
      <c r="X42" s="12"/>
      <c r="Y42" s="7"/>
      <c r="Z42" s="12" t="str">
        <f t="shared" si="3"/>
        <v>X</v>
      </c>
      <c r="AA42" s="7">
        <v>46211</v>
      </c>
      <c r="AB42" s="12">
        <f t="shared" si="16"/>
        <v>46942</v>
      </c>
      <c r="AC42" s="7"/>
      <c r="AD42" s="12" t="str">
        <f t="shared" si="5"/>
        <v>X</v>
      </c>
      <c r="AE42" s="12"/>
      <c r="AF42" s="12"/>
      <c r="AG42" s="12"/>
    </row>
    <row r="43" spans="1:33" s="21" customFormat="1" x14ac:dyDescent="0.45">
      <c r="A43" s="20" t="s">
        <v>141</v>
      </c>
      <c r="B43" s="6" t="s">
        <v>142</v>
      </c>
      <c r="C43" s="7"/>
      <c r="D43" s="12" t="str">
        <f t="shared" si="17"/>
        <v>X</v>
      </c>
      <c r="E43" s="7"/>
      <c r="F43" s="12" t="str">
        <f t="shared" si="7"/>
        <v>X</v>
      </c>
      <c r="G43" s="7"/>
      <c r="H43" s="12" t="str">
        <f t="shared" si="8"/>
        <v>X</v>
      </c>
      <c r="I43" s="7"/>
      <c r="J43" s="12" t="str">
        <f t="shared" si="9"/>
        <v>X</v>
      </c>
      <c r="K43" s="7"/>
      <c r="L43" s="12" t="str">
        <f t="shared" si="0"/>
        <v>X</v>
      </c>
      <c r="M43" s="7"/>
      <c r="N43" s="12" t="str">
        <f t="shared" si="10"/>
        <v>X</v>
      </c>
      <c r="O43" s="7"/>
      <c r="P43" s="12" t="str">
        <f t="shared" si="11"/>
        <v>X</v>
      </c>
      <c r="Q43" s="7"/>
      <c r="R43" s="12" t="str">
        <f t="shared" si="12"/>
        <v>X</v>
      </c>
      <c r="S43" s="7"/>
      <c r="T43" s="12" t="str">
        <f t="shared" si="13"/>
        <v>X</v>
      </c>
      <c r="U43" s="7"/>
      <c r="V43" s="12" t="str">
        <f t="shared" si="14"/>
        <v>X</v>
      </c>
      <c r="W43" s="12"/>
      <c r="X43" s="19"/>
      <c r="Y43" s="7"/>
      <c r="Z43" s="12" t="str">
        <f t="shared" si="3"/>
        <v>X</v>
      </c>
      <c r="AA43" s="7"/>
      <c r="AB43" s="12" t="str">
        <f t="shared" si="16"/>
        <v>X</v>
      </c>
      <c r="AC43" s="7"/>
      <c r="AD43" s="12" t="str">
        <f t="shared" si="5"/>
        <v>X</v>
      </c>
      <c r="AE43" s="12"/>
      <c r="AF43" s="12"/>
      <c r="AG43" s="12"/>
    </row>
    <row r="44" spans="1:33" x14ac:dyDescent="0.45">
      <c r="A44" s="5" t="s">
        <v>148</v>
      </c>
      <c r="B44" s="6" t="s">
        <v>28</v>
      </c>
      <c r="C44" s="7"/>
      <c r="D44" s="12" t="str">
        <f t="shared" si="17"/>
        <v>X</v>
      </c>
      <c r="E44" s="7">
        <v>46045</v>
      </c>
      <c r="F44" s="12">
        <f t="shared" si="7"/>
        <v>46775</v>
      </c>
      <c r="G44" s="7">
        <v>46045</v>
      </c>
      <c r="H44" s="12">
        <f t="shared" si="8"/>
        <v>46775</v>
      </c>
      <c r="I44" s="7">
        <v>46055</v>
      </c>
      <c r="J44" s="12">
        <f t="shared" si="9"/>
        <v>46785</v>
      </c>
      <c r="K44" s="7">
        <v>46052</v>
      </c>
      <c r="L44" s="12">
        <f t="shared" si="0"/>
        <v>46782</v>
      </c>
      <c r="M44" s="7">
        <v>46049</v>
      </c>
      <c r="N44" s="12">
        <f t="shared" si="10"/>
        <v>46779</v>
      </c>
      <c r="O44" s="7">
        <v>46050</v>
      </c>
      <c r="P44" s="12">
        <f t="shared" si="11"/>
        <v>46415</v>
      </c>
      <c r="Q44" s="7">
        <v>46062</v>
      </c>
      <c r="R44" s="12">
        <f t="shared" si="12"/>
        <v>46427</v>
      </c>
      <c r="S44" s="7">
        <v>46048</v>
      </c>
      <c r="T44" s="12">
        <f t="shared" si="13"/>
        <v>46778</v>
      </c>
      <c r="U44" s="7"/>
      <c r="V44" s="12" t="str">
        <f t="shared" si="14"/>
        <v>X</v>
      </c>
      <c r="W44" s="12"/>
      <c r="X44" s="12"/>
      <c r="Y44" s="7"/>
      <c r="Z44" s="12" t="str">
        <f t="shared" si="3"/>
        <v>X</v>
      </c>
      <c r="AA44" s="7"/>
      <c r="AB44" s="12" t="str">
        <f t="shared" si="16"/>
        <v>X</v>
      </c>
      <c r="AC44" s="7"/>
      <c r="AD44" s="12" t="str">
        <f t="shared" si="5"/>
        <v>X</v>
      </c>
      <c r="AE44" s="12"/>
      <c r="AF44" s="12"/>
      <c r="AG44" s="12"/>
    </row>
    <row r="45" spans="1:33" s="21" customFormat="1" x14ac:dyDescent="0.45">
      <c r="A45" s="20" t="s">
        <v>143</v>
      </c>
      <c r="B45" s="6" t="s">
        <v>6</v>
      </c>
      <c r="C45" s="7"/>
      <c r="D45" s="12" t="str">
        <f t="shared" si="17"/>
        <v>X</v>
      </c>
      <c r="E45" s="7"/>
      <c r="F45" s="12" t="str">
        <f t="shared" si="7"/>
        <v>X</v>
      </c>
      <c r="G45" s="7"/>
      <c r="H45" s="12" t="str">
        <f t="shared" si="8"/>
        <v>X</v>
      </c>
      <c r="I45" s="7"/>
      <c r="J45" s="12" t="str">
        <f t="shared" si="9"/>
        <v>X</v>
      </c>
      <c r="K45" s="7"/>
      <c r="L45" s="12" t="str">
        <f t="shared" si="0"/>
        <v>X</v>
      </c>
      <c r="M45" s="7"/>
      <c r="N45" s="12" t="str">
        <f t="shared" si="10"/>
        <v>X</v>
      </c>
      <c r="O45" s="7"/>
      <c r="P45" s="12" t="str">
        <f t="shared" si="11"/>
        <v>X</v>
      </c>
      <c r="Q45" s="7"/>
      <c r="R45" s="12" t="str">
        <f t="shared" si="12"/>
        <v>X</v>
      </c>
      <c r="S45" s="7"/>
      <c r="T45" s="12" t="str">
        <f t="shared" si="13"/>
        <v>X</v>
      </c>
      <c r="U45" s="7"/>
      <c r="V45" s="12" t="str">
        <f t="shared" si="14"/>
        <v>X</v>
      </c>
      <c r="W45" s="12"/>
      <c r="X45" s="19"/>
      <c r="Y45" s="7"/>
      <c r="Z45" s="12" t="str">
        <f t="shared" si="3"/>
        <v>X</v>
      </c>
      <c r="AA45" s="7"/>
      <c r="AB45" s="12" t="str">
        <f t="shared" si="16"/>
        <v>X</v>
      </c>
      <c r="AC45" s="7"/>
      <c r="AD45" s="12" t="str">
        <f t="shared" si="5"/>
        <v>X</v>
      </c>
      <c r="AE45" s="12"/>
      <c r="AF45" s="12"/>
      <c r="AG45" s="12"/>
    </row>
    <row r="46" spans="1:33" s="21" customFormat="1" x14ac:dyDescent="0.45">
      <c r="A46" s="20" t="s">
        <v>144</v>
      </c>
      <c r="B46" s="6" t="s">
        <v>145</v>
      </c>
      <c r="C46" s="7"/>
      <c r="D46" s="12" t="str">
        <f t="shared" si="17"/>
        <v>X</v>
      </c>
      <c r="E46" s="7"/>
      <c r="F46" s="12" t="str">
        <f t="shared" si="7"/>
        <v>X</v>
      </c>
      <c r="G46" s="7"/>
      <c r="H46" s="12" t="str">
        <f t="shared" si="8"/>
        <v>X</v>
      </c>
      <c r="I46" s="7"/>
      <c r="J46" s="12" t="str">
        <f t="shared" si="9"/>
        <v>X</v>
      </c>
      <c r="K46" s="7"/>
      <c r="L46" s="12" t="str">
        <f t="shared" si="0"/>
        <v>X</v>
      </c>
      <c r="M46" s="7"/>
      <c r="N46" s="12" t="str">
        <f t="shared" si="10"/>
        <v>X</v>
      </c>
      <c r="O46" s="7"/>
      <c r="P46" s="12" t="str">
        <f t="shared" si="11"/>
        <v>X</v>
      </c>
      <c r="Q46" s="7"/>
      <c r="R46" s="12" t="str">
        <f t="shared" si="12"/>
        <v>X</v>
      </c>
      <c r="S46" s="7"/>
      <c r="T46" s="12" t="str">
        <f t="shared" si="13"/>
        <v>X</v>
      </c>
      <c r="U46" s="7"/>
      <c r="V46" s="12" t="str">
        <f t="shared" si="14"/>
        <v>X</v>
      </c>
      <c r="W46" s="12"/>
      <c r="X46" s="19"/>
      <c r="Y46" s="7"/>
      <c r="Z46" s="12" t="str">
        <f t="shared" si="3"/>
        <v>X</v>
      </c>
      <c r="AA46" s="7"/>
      <c r="AB46" s="12" t="str">
        <f t="shared" si="16"/>
        <v>X</v>
      </c>
      <c r="AC46" s="7"/>
      <c r="AD46" s="12" t="str">
        <f t="shared" si="5"/>
        <v>X</v>
      </c>
      <c r="AE46" s="12"/>
      <c r="AF46" s="12"/>
      <c r="AG46" s="12"/>
    </row>
    <row r="47" spans="1:33" s="21" customFormat="1" x14ac:dyDescent="0.45">
      <c r="A47" s="20" t="s">
        <v>146</v>
      </c>
      <c r="B47" s="6" t="s">
        <v>147</v>
      </c>
      <c r="C47" s="7"/>
      <c r="D47" s="12" t="str">
        <f t="shared" si="17"/>
        <v>X</v>
      </c>
      <c r="E47" s="7"/>
      <c r="F47" s="12" t="str">
        <f t="shared" si="7"/>
        <v>X</v>
      </c>
      <c r="G47" s="7"/>
      <c r="H47" s="12" t="str">
        <f t="shared" si="8"/>
        <v>X</v>
      </c>
      <c r="I47" s="7"/>
      <c r="J47" s="12" t="str">
        <f t="shared" si="9"/>
        <v>X</v>
      </c>
      <c r="K47" s="7"/>
      <c r="L47" s="12" t="str">
        <f t="shared" si="0"/>
        <v>X</v>
      </c>
      <c r="M47" s="7"/>
      <c r="N47" s="12" t="str">
        <f t="shared" si="10"/>
        <v>X</v>
      </c>
      <c r="O47" s="7"/>
      <c r="P47" s="12" t="str">
        <f t="shared" si="11"/>
        <v>X</v>
      </c>
      <c r="Q47" s="7"/>
      <c r="R47" s="12" t="str">
        <f t="shared" si="12"/>
        <v>X</v>
      </c>
      <c r="S47" s="7"/>
      <c r="T47" s="12" t="str">
        <f t="shared" si="13"/>
        <v>X</v>
      </c>
      <c r="U47" s="7"/>
      <c r="V47" s="12" t="str">
        <f t="shared" si="14"/>
        <v>X</v>
      </c>
      <c r="W47" s="12"/>
      <c r="X47" s="19"/>
      <c r="Y47" s="7"/>
      <c r="Z47" s="12" t="str">
        <f t="shared" si="3"/>
        <v>X</v>
      </c>
      <c r="AA47" s="7"/>
      <c r="AB47" s="12" t="str">
        <f t="shared" si="16"/>
        <v>X</v>
      </c>
      <c r="AC47" s="7"/>
      <c r="AD47" s="12" t="str">
        <f t="shared" si="5"/>
        <v>X</v>
      </c>
      <c r="AE47" s="12"/>
      <c r="AF47" s="12"/>
      <c r="AG47" s="12"/>
    </row>
    <row r="48" spans="1:33" s="21" customFormat="1" x14ac:dyDescent="0.45">
      <c r="A48" s="20" t="s">
        <v>202</v>
      </c>
      <c r="B48" s="6" t="s">
        <v>60</v>
      </c>
      <c r="C48" s="7"/>
      <c r="D48" s="12" t="str">
        <f t="shared" si="17"/>
        <v>X</v>
      </c>
      <c r="E48" s="7">
        <v>46164</v>
      </c>
      <c r="F48" s="12">
        <f t="shared" si="7"/>
        <v>46895</v>
      </c>
      <c r="G48" s="7">
        <v>46164</v>
      </c>
      <c r="H48" s="12">
        <f t="shared" si="8"/>
        <v>46895</v>
      </c>
      <c r="I48" s="7"/>
      <c r="J48" s="12"/>
      <c r="K48" s="7"/>
      <c r="L48" s="12"/>
      <c r="M48" s="7">
        <v>46164</v>
      </c>
      <c r="N48" s="12">
        <f t="shared" si="10"/>
        <v>46895</v>
      </c>
      <c r="O48" s="7"/>
      <c r="P48" s="12"/>
      <c r="Q48" s="7"/>
      <c r="R48" s="12"/>
      <c r="S48" s="7">
        <v>46163</v>
      </c>
      <c r="T48" s="12">
        <f t="shared" si="13"/>
        <v>46894</v>
      </c>
      <c r="U48" s="7"/>
      <c r="V48" s="12"/>
      <c r="W48" s="12"/>
      <c r="X48" s="19"/>
      <c r="Y48" s="7"/>
      <c r="Z48" s="12"/>
      <c r="AA48" s="7"/>
      <c r="AB48" s="12"/>
      <c r="AC48" s="7"/>
      <c r="AD48" s="12"/>
      <c r="AE48" s="12"/>
      <c r="AF48" s="12"/>
      <c r="AG48" s="12"/>
    </row>
    <row r="49" spans="1:33" s="21" customFormat="1" x14ac:dyDescent="0.45">
      <c r="A49" s="20" t="s">
        <v>149</v>
      </c>
      <c r="B49" s="6" t="s">
        <v>188</v>
      </c>
      <c r="C49" s="7"/>
      <c r="D49" s="12" t="str">
        <f t="shared" si="17"/>
        <v>X</v>
      </c>
      <c r="E49" s="7"/>
      <c r="F49" s="12" t="str">
        <f t="shared" si="7"/>
        <v>X</v>
      </c>
      <c r="G49" s="7"/>
      <c r="H49" s="12" t="str">
        <f t="shared" si="8"/>
        <v>X</v>
      </c>
      <c r="I49" s="7"/>
      <c r="J49" s="12" t="str">
        <f t="shared" si="9"/>
        <v>X</v>
      </c>
      <c r="K49" s="7"/>
      <c r="L49" s="12" t="str">
        <f t="shared" si="0"/>
        <v>X</v>
      </c>
      <c r="M49" s="7">
        <v>46134</v>
      </c>
      <c r="N49" s="12">
        <f t="shared" si="10"/>
        <v>46865</v>
      </c>
      <c r="O49" s="7"/>
      <c r="P49" s="12" t="str">
        <f t="shared" si="11"/>
        <v>X</v>
      </c>
      <c r="Q49" s="7"/>
      <c r="R49" s="12" t="str">
        <f t="shared" si="12"/>
        <v>X</v>
      </c>
      <c r="S49" s="7"/>
      <c r="T49" s="12" t="str">
        <f t="shared" si="13"/>
        <v>X</v>
      </c>
      <c r="U49" s="7"/>
      <c r="V49" s="12" t="str">
        <f t="shared" si="14"/>
        <v>X</v>
      </c>
      <c r="W49" s="12"/>
      <c r="X49" s="19"/>
      <c r="Y49" s="7"/>
      <c r="Z49" s="12" t="str">
        <f t="shared" si="3"/>
        <v>X</v>
      </c>
      <c r="AA49" s="7"/>
      <c r="AB49" s="12" t="str">
        <f t="shared" si="16"/>
        <v>X</v>
      </c>
      <c r="AC49" s="7"/>
      <c r="AD49" s="12" t="str">
        <f t="shared" si="5"/>
        <v>X</v>
      </c>
      <c r="AE49" s="12"/>
      <c r="AF49" s="12"/>
      <c r="AG49" s="12"/>
    </row>
    <row r="50" spans="1:33" s="21" customFormat="1" x14ac:dyDescent="0.45">
      <c r="A50" s="9" t="s">
        <v>198</v>
      </c>
      <c r="B50" s="6" t="s">
        <v>209</v>
      </c>
      <c r="C50" s="7"/>
      <c r="D50" s="12" t="str">
        <f t="shared" si="17"/>
        <v>X</v>
      </c>
      <c r="E50" s="7">
        <v>46128</v>
      </c>
      <c r="F50" s="12">
        <f t="shared" si="7"/>
        <v>46859</v>
      </c>
      <c r="G50" s="7">
        <v>46128</v>
      </c>
      <c r="H50" s="12">
        <f t="shared" si="8"/>
        <v>46859</v>
      </c>
      <c r="I50" s="7"/>
      <c r="J50" s="12"/>
      <c r="K50" s="7"/>
      <c r="L50" s="12"/>
      <c r="M50" s="7">
        <v>46134</v>
      </c>
      <c r="N50" s="12">
        <f t="shared" si="10"/>
        <v>46865</v>
      </c>
      <c r="O50" s="7"/>
      <c r="P50" s="12"/>
      <c r="Q50" s="7"/>
      <c r="R50" s="12"/>
      <c r="S50" s="7">
        <v>46163</v>
      </c>
      <c r="T50" s="12">
        <f t="shared" si="13"/>
        <v>46894</v>
      </c>
      <c r="U50" s="7"/>
      <c r="V50" s="12"/>
      <c r="W50" s="12"/>
      <c r="X50" s="19"/>
      <c r="Y50" s="7"/>
      <c r="Z50" s="12"/>
      <c r="AA50" s="7"/>
      <c r="AB50" s="12"/>
      <c r="AC50" s="7"/>
      <c r="AD50" s="12"/>
      <c r="AE50" s="12"/>
      <c r="AF50" s="12"/>
      <c r="AG50" s="12"/>
    </row>
    <row r="51" spans="1:33" x14ac:dyDescent="0.45">
      <c r="A51" s="9" t="s">
        <v>26</v>
      </c>
      <c r="B51" s="6" t="s">
        <v>27</v>
      </c>
      <c r="C51" s="7"/>
      <c r="D51" s="12" t="str">
        <f t="shared" si="17"/>
        <v>X</v>
      </c>
      <c r="E51" s="7">
        <v>45805</v>
      </c>
      <c r="F51" s="12">
        <f t="shared" si="7"/>
        <v>46535</v>
      </c>
      <c r="G51" s="7">
        <v>45742</v>
      </c>
      <c r="H51" s="12">
        <f t="shared" si="8"/>
        <v>46472</v>
      </c>
      <c r="I51" s="7"/>
      <c r="J51" s="12" t="str">
        <f t="shared" si="9"/>
        <v>X</v>
      </c>
      <c r="K51" s="7">
        <v>45730</v>
      </c>
      <c r="L51" s="12">
        <f t="shared" si="0"/>
        <v>46460</v>
      </c>
      <c r="M51" s="7">
        <v>45656</v>
      </c>
      <c r="N51" s="12">
        <f t="shared" si="10"/>
        <v>46386</v>
      </c>
      <c r="O51" s="7">
        <v>45995</v>
      </c>
      <c r="P51" s="12">
        <f t="shared" si="11"/>
        <v>46360</v>
      </c>
      <c r="Q51" s="7">
        <v>46031</v>
      </c>
      <c r="R51" s="12">
        <f t="shared" si="12"/>
        <v>46396</v>
      </c>
      <c r="S51" s="7">
        <v>45751</v>
      </c>
      <c r="T51" s="12">
        <f t="shared" si="13"/>
        <v>46481</v>
      </c>
      <c r="U51" s="7"/>
      <c r="V51" s="12" t="str">
        <f t="shared" si="14"/>
        <v>X</v>
      </c>
      <c r="W51" s="12"/>
      <c r="X51" s="12"/>
      <c r="Y51" s="7"/>
      <c r="Z51" s="12" t="str">
        <f t="shared" si="3"/>
        <v>X</v>
      </c>
      <c r="AA51" s="7"/>
      <c r="AB51" s="12" t="str">
        <f t="shared" si="16"/>
        <v>X</v>
      </c>
      <c r="AC51" s="7"/>
      <c r="AD51" s="12" t="str">
        <f t="shared" si="5"/>
        <v>X</v>
      </c>
      <c r="AE51" s="12"/>
      <c r="AF51" s="12"/>
      <c r="AG51" s="12"/>
    </row>
    <row r="52" spans="1:33" s="21" customFormat="1" x14ac:dyDescent="0.45">
      <c r="A52" s="20" t="s">
        <v>150</v>
      </c>
      <c r="B52" s="6" t="s">
        <v>151</v>
      </c>
      <c r="C52" s="7"/>
      <c r="D52" s="12" t="str">
        <f t="shared" si="17"/>
        <v>X</v>
      </c>
      <c r="E52" s="7"/>
      <c r="F52" s="12" t="str">
        <f t="shared" si="7"/>
        <v>X</v>
      </c>
      <c r="G52" s="7"/>
      <c r="H52" s="12" t="str">
        <f t="shared" si="8"/>
        <v>X</v>
      </c>
      <c r="I52" s="7"/>
      <c r="J52" s="12" t="str">
        <f t="shared" si="9"/>
        <v>X</v>
      </c>
      <c r="K52" s="7"/>
      <c r="L52" s="12" t="str">
        <f t="shared" si="0"/>
        <v>X</v>
      </c>
      <c r="M52" s="7"/>
      <c r="N52" s="12" t="str">
        <f t="shared" si="10"/>
        <v>X</v>
      </c>
      <c r="O52" s="7"/>
      <c r="P52" s="12" t="str">
        <f t="shared" si="11"/>
        <v>X</v>
      </c>
      <c r="Q52" s="7"/>
      <c r="R52" s="12" t="str">
        <f t="shared" si="12"/>
        <v>X</v>
      </c>
      <c r="S52" s="7"/>
      <c r="T52" s="12" t="str">
        <f t="shared" si="13"/>
        <v>X</v>
      </c>
      <c r="U52" s="7"/>
      <c r="V52" s="12" t="str">
        <f t="shared" si="14"/>
        <v>X</v>
      </c>
      <c r="W52" s="12"/>
      <c r="X52" s="19"/>
      <c r="Y52" s="7"/>
      <c r="Z52" s="12" t="str">
        <f t="shared" si="3"/>
        <v>X</v>
      </c>
      <c r="AA52" s="7"/>
      <c r="AB52" s="12" t="str">
        <f t="shared" si="16"/>
        <v>X</v>
      </c>
      <c r="AC52" s="7"/>
      <c r="AD52" s="12" t="str">
        <f t="shared" si="5"/>
        <v>X</v>
      </c>
      <c r="AE52" s="12"/>
      <c r="AF52" s="12"/>
      <c r="AG52" s="12"/>
    </row>
    <row r="53" spans="1:33" s="21" customFormat="1" x14ac:dyDescent="0.45">
      <c r="A53" s="20" t="s">
        <v>152</v>
      </c>
      <c r="B53" s="6" t="s">
        <v>59</v>
      </c>
      <c r="C53" s="7"/>
      <c r="D53" s="12" t="str">
        <f t="shared" si="17"/>
        <v>X</v>
      </c>
      <c r="E53" s="7"/>
      <c r="F53" s="12" t="str">
        <f t="shared" si="7"/>
        <v>X</v>
      </c>
      <c r="G53" s="7"/>
      <c r="H53" s="12" t="str">
        <f t="shared" si="8"/>
        <v>X</v>
      </c>
      <c r="I53" s="7"/>
      <c r="J53" s="12" t="str">
        <f t="shared" si="9"/>
        <v>X</v>
      </c>
      <c r="K53" s="7"/>
      <c r="L53" s="12" t="str">
        <f t="shared" si="0"/>
        <v>X</v>
      </c>
      <c r="M53" s="7"/>
      <c r="N53" s="12" t="str">
        <f t="shared" si="10"/>
        <v>X</v>
      </c>
      <c r="O53" s="7"/>
      <c r="P53" s="12" t="str">
        <f t="shared" si="11"/>
        <v>X</v>
      </c>
      <c r="Q53" s="7"/>
      <c r="R53" s="12" t="str">
        <f t="shared" si="12"/>
        <v>X</v>
      </c>
      <c r="S53" s="7"/>
      <c r="T53" s="12" t="str">
        <f t="shared" si="13"/>
        <v>X</v>
      </c>
      <c r="U53" s="7"/>
      <c r="V53" s="12" t="str">
        <f t="shared" si="14"/>
        <v>X</v>
      </c>
      <c r="W53" s="12"/>
      <c r="X53" s="19"/>
      <c r="Y53" s="7"/>
      <c r="Z53" s="12" t="str">
        <f t="shared" si="3"/>
        <v>X</v>
      </c>
      <c r="AA53" s="7"/>
      <c r="AB53" s="12" t="str">
        <f t="shared" si="16"/>
        <v>X</v>
      </c>
      <c r="AC53" s="7"/>
      <c r="AD53" s="12" t="str">
        <f t="shared" si="5"/>
        <v>X</v>
      </c>
      <c r="AE53" s="12"/>
      <c r="AF53" s="12"/>
      <c r="AG53" s="12"/>
    </row>
    <row r="54" spans="1:33" s="21" customFormat="1" x14ac:dyDescent="0.45">
      <c r="A54" s="5" t="s">
        <v>224</v>
      </c>
      <c r="B54" s="6" t="s">
        <v>225</v>
      </c>
      <c r="C54" s="7"/>
      <c r="D54" s="12" t="str">
        <f t="shared" si="17"/>
        <v>X</v>
      </c>
      <c r="E54" s="7">
        <v>46247</v>
      </c>
      <c r="F54" s="12">
        <f t="shared" si="7"/>
        <v>46978</v>
      </c>
      <c r="G54" s="7">
        <v>46247</v>
      </c>
      <c r="H54" s="12">
        <f t="shared" si="8"/>
        <v>46978</v>
      </c>
      <c r="I54" s="7"/>
      <c r="J54" s="12"/>
      <c r="K54" s="7">
        <v>46248</v>
      </c>
      <c r="L54" s="12">
        <f t="shared" si="0"/>
        <v>46979</v>
      </c>
      <c r="M54" s="7">
        <v>46247</v>
      </c>
      <c r="N54" s="12">
        <f t="shared" si="10"/>
        <v>46978</v>
      </c>
      <c r="O54" s="7"/>
      <c r="P54" s="12"/>
      <c r="Q54" s="7"/>
      <c r="R54" s="12"/>
      <c r="S54" s="7"/>
      <c r="T54" s="12"/>
      <c r="U54" s="7"/>
      <c r="V54" s="12"/>
      <c r="W54" s="12"/>
      <c r="X54" s="19"/>
      <c r="Y54" s="7"/>
      <c r="Z54" s="12"/>
      <c r="AA54" s="7"/>
      <c r="AB54" s="12"/>
      <c r="AC54" s="7"/>
      <c r="AD54" s="12"/>
      <c r="AE54" s="12"/>
      <c r="AF54" s="12"/>
      <c r="AG54" s="12"/>
    </row>
    <row r="55" spans="1:33" x14ac:dyDescent="0.45">
      <c r="A55" s="10" t="s">
        <v>22</v>
      </c>
      <c r="B55" s="6" t="s">
        <v>23</v>
      </c>
      <c r="C55" s="7"/>
      <c r="D55" s="12" t="str">
        <f t="shared" si="17"/>
        <v>X</v>
      </c>
      <c r="E55" s="7">
        <v>45338</v>
      </c>
      <c r="F55" s="12">
        <f t="shared" si="7"/>
        <v>46069</v>
      </c>
      <c r="G55" s="7">
        <v>45870</v>
      </c>
      <c r="H55" s="12">
        <f t="shared" si="8"/>
        <v>46600</v>
      </c>
      <c r="I55" s="7"/>
      <c r="J55" s="12" t="str">
        <f t="shared" si="9"/>
        <v>X</v>
      </c>
      <c r="K55" s="7"/>
      <c r="L55" s="12" t="str">
        <f t="shared" si="0"/>
        <v>X</v>
      </c>
      <c r="M55" s="7">
        <v>45338</v>
      </c>
      <c r="N55" s="12">
        <f t="shared" si="10"/>
        <v>46069</v>
      </c>
      <c r="O55" s="7"/>
      <c r="P55" s="12" t="str">
        <f t="shared" si="11"/>
        <v>X</v>
      </c>
      <c r="Q55" s="7"/>
      <c r="R55" s="12" t="str">
        <f t="shared" si="12"/>
        <v>X</v>
      </c>
      <c r="S55" s="7">
        <v>45729</v>
      </c>
      <c r="T55" s="12">
        <f t="shared" si="13"/>
        <v>46459</v>
      </c>
      <c r="U55" s="7"/>
      <c r="V55" s="12" t="str">
        <f t="shared" si="14"/>
        <v>X</v>
      </c>
      <c r="W55" s="12"/>
      <c r="X55" s="12"/>
      <c r="Y55" s="7">
        <v>45726</v>
      </c>
      <c r="Z55" s="12">
        <f t="shared" ref="Z55:Z107" si="18">IF(YEAR(Y55) &lt;= 1990, "X", DATE(YEAR(Y55)+2, MONTH(Y55), DAY(Y55)))</f>
        <v>46456</v>
      </c>
      <c r="AA55" s="7"/>
      <c r="AB55" s="12" t="str">
        <f t="shared" si="16"/>
        <v>X</v>
      </c>
      <c r="AC55" s="7">
        <v>45848</v>
      </c>
      <c r="AD55" s="12">
        <f t="shared" ref="AD55:AD107" si="19">IF(YEAR(AC55) &lt;= 1990, "X", DATE(YEAR(AC55)+2, MONTH(AC55), DAY(AC55)))</f>
        <v>46578</v>
      </c>
      <c r="AE55" s="12"/>
      <c r="AF55" s="12"/>
      <c r="AG55" s="12"/>
    </row>
    <row r="56" spans="1:33" s="21" customFormat="1" x14ac:dyDescent="0.45">
      <c r="A56" s="5" t="s">
        <v>153</v>
      </c>
      <c r="B56" s="22" t="s">
        <v>118</v>
      </c>
      <c r="C56" s="7"/>
      <c r="D56" s="12" t="str">
        <f t="shared" si="17"/>
        <v>X</v>
      </c>
      <c r="E56" s="7">
        <v>46247</v>
      </c>
      <c r="F56" s="12">
        <f t="shared" si="7"/>
        <v>46978</v>
      </c>
      <c r="G56" s="7">
        <v>46247</v>
      </c>
      <c r="H56" s="12">
        <f t="shared" si="8"/>
        <v>46978</v>
      </c>
      <c r="I56" s="7"/>
      <c r="J56" s="12" t="str">
        <f t="shared" si="9"/>
        <v>X</v>
      </c>
      <c r="K56" s="7">
        <v>46248</v>
      </c>
      <c r="L56" s="12">
        <f t="shared" si="0"/>
        <v>46979</v>
      </c>
      <c r="M56" s="7">
        <v>46247</v>
      </c>
      <c r="N56" s="12">
        <f t="shared" si="10"/>
        <v>46978</v>
      </c>
      <c r="O56" s="7"/>
      <c r="P56" s="12" t="str">
        <f t="shared" si="11"/>
        <v>X</v>
      </c>
      <c r="Q56" s="7"/>
      <c r="R56" s="12" t="str">
        <f t="shared" si="12"/>
        <v>X</v>
      </c>
      <c r="S56" s="7"/>
      <c r="T56" s="12" t="str">
        <f t="shared" si="13"/>
        <v>X</v>
      </c>
      <c r="U56" s="7"/>
      <c r="V56" s="12" t="str">
        <f t="shared" si="14"/>
        <v>X</v>
      </c>
      <c r="W56" s="12"/>
      <c r="X56" s="19"/>
      <c r="Y56" s="7"/>
      <c r="Z56" s="12" t="str">
        <f t="shared" si="18"/>
        <v>X</v>
      </c>
      <c r="AA56" s="7"/>
      <c r="AB56" s="12" t="str">
        <f t="shared" si="16"/>
        <v>X</v>
      </c>
      <c r="AC56" s="7"/>
      <c r="AD56" s="12" t="str">
        <f t="shared" si="19"/>
        <v>X</v>
      </c>
      <c r="AE56" s="12"/>
      <c r="AF56" s="12"/>
      <c r="AG56" s="12"/>
    </row>
    <row r="57" spans="1:33" s="21" customFormat="1" x14ac:dyDescent="0.45">
      <c r="A57" s="20" t="s">
        <v>154</v>
      </c>
      <c r="B57" s="22" t="s">
        <v>155</v>
      </c>
      <c r="C57" s="7"/>
      <c r="D57" s="12" t="str">
        <f t="shared" si="17"/>
        <v>X</v>
      </c>
      <c r="E57" s="7"/>
      <c r="F57" s="12" t="str">
        <f t="shared" si="7"/>
        <v>X</v>
      </c>
      <c r="G57" s="7"/>
      <c r="H57" s="12" t="str">
        <f t="shared" si="8"/>
        <v>X</v>
      </c>
      <c r="I57" s="7"/>
      <c r="J57" s="12" t="str">
        <f t="shared" si="9"/>
        <v>X</v>
      </c>
      <c r="K57" s="7"/>
      <c r="L57" s="12" t="str">
        <f t="shared" si="0"/>
        <v>X</v>
      </c>
      <c r="M57" s="7"/>
      <c r="N57" s="12" t="str">
        <f t="shared" si="10"/>
        <v>X</v>
      </c>
      <c r="O57" s="7"/>
      <c r="P57" s="12" t="str">
        <f t="shared" si="11"/>
        <v>X</v>
      </c>
      <c r="Q57" s="7"/>
      <c r="R57" s="12" t="str">
        <f t="shared" si="12"/>
        <v>X</v>
      </c>
      <c r="S57" s="7"/>
      <c r="T57" s="12" t="str">
        <f t="shared" si="13"/>
        <v>X</v>
      </c>
      <c r="U57" s="7"/>
      <c r="V57" s="12" t="str">
        <f t="shared" si="14"/>
        <v>X</v>
      </c>
      <c r="W57" s="12"/>
      <c r="X57" s="19"/>
      <c r="Y57" s="7"/>
      <c r="Z57" s="12" t="str">
        <f t="shared" si="18"/>
        <v>X</v>
      </c>
      <c r="AA57" s="7"/>
      <c r="AB57" s="12" t="str">
        <f t="shared" si="16"/>
        <v>X</v>
      </c>
      <c r="AC57" s="7"/>
      <c r="AD57" s="12" t="str">
        <f t="shared" si="19"/>
        <v>X</v>
      </c>
      <c r="AE57" s="12"/>
      <c r="AF57" s="12"/>
      <c r="AG57" s="12"/>
    </row>
    <row r="58" spans="1:33" x14ac:dyDescent="0.45">
      <c r="A58" s="9" t="s">
        <v>25</v>
      </c>
      <c r="B58" s="6" t="s">
        <v>62</v>
      </c>
      <c r="C58" s="7"/>
      <c r="D58" s="12" t="str">
        <f t="shared" si="17"/>
        <v>X</v>
      </c>
      <c r="E58" s="7">
        <v>46164</v>
      </c>
      <c r="F58" s="12">
        <f t="shared" si="7"/>
        <v>46895</v>
      </c>
      <c r="G58" s="7">
        <v>46164</v>
      </c>
      <c r="H58" s="12">
        <f t="shared" si="8"/>
        <v>46895</v>
      </c>
      <c r="I58" s="7"/>
      <c r="J58" s="12" t="str">
        <f t="shared" si="9"/>
        <v>X</v>
      </c>
      <c r="K58" s="7"/>
      <c r="L58" s="12" t="str">
        <f t="shared" si="0"/>
        <v>X</v>
      </c>
      <c r="M58" s="7">
        <v>46164</v>
      </c>
      <c r="N58" s="12">
        <f t="shared" si="10"/>
        <v>46895</v>
      </c>
      <c r="O58" s="7">
        <v>45341</v>
      </c>
      <c r="P58" s="12">
        <f t="shared" si="11"/>
        <v>45707</v>
      </c>
      <c r="Q58" s="7">
        <v>45376</v>
      </c>
      <c r="R58" s="12">
        <f t="shared" si="12"/>
        <v>45741</v>
      </c>
      <c r="S58" s="7">
        <v>46163</v>
      </c>
      <c r="T58" s="12">
        <f t="shared" si="13"/>
        <v>46894</v>
      </c>
      <c r="U58" s="7">
        <v>45027</v>
      </c>
      <c r="V58" s="12">
        <f t="shared" si="14"/>
        <v>45758</v>
      </c>
      <c r="W58" s="12"/>
      <c r="X58" s="12"/>
      <c r="Y58" s="7"/>
      <c r="Z58" s="12" t="str">
        <f t="shared" si="18"/>
        <v>X</v>
      </c>
      <c r="AA58" s="7"/>
      <c r="AB58" s="12" t="str">
        <f t="shared" si="16"/>
        <v>X</v>
      </c>
      <c r="AC58" s="7"/>
      <c r="AD58" s="12" t="str">
        <f t="shared" si="19"/>
        <v>X</v>
      </c>
      <c r="AE58" s="12">
        <v>46119</v>
      </c>
      <c r="AF58" s="12"/>
      <c r="AG58" s="12"/>
    </row>
    <row r="59" spans="1:33" s="21" customFormat="1" x14ac:dyDescent="0.45">
      <c r="A59" s="20" t="s">
        <v>156</v>
      </c>
      <c r="B59" s="6" t="s">
        <v>118</v>
      </c>
      <c r="C59" s="7"/>
      <c r="D59" s="12" t="str">
        <f t="shared" si="17"/>
        <v>X</v>
      </c>
      <c r="E59" s="7"/>
      <c r="F59" s="12" t="str">
        <f t="shared" si="7"/>
        <v>X</v>
      </c>
      <c r="G59" s="7"/>
      <c r="H59" s="12" t="str">
        <f t="shared" si="8"/>
        <v>X</v>
      </c>
      <c r="I59" s="7"/>
      <c r="J59" s="12" t="str">
        <f t="shared" si="9"/>
        <v>X</v>
      </c>
      <c r="K59" s="7"/>
      <c r="L59" s="12" t="str">
        <f t="shared" si="0"/>
        <v>X</v>
      </c>
      <c r="M59" s="7"/>
      <c r="N59" s="12" t="str">
        <f t="shared" si="10"/>
        <v>X</v>
      </c>
      <c r="O59" s="7"/>
      <c r="P59" s="12" t="str">
        <f t="shared" si="11"/>
        <v>X</v>
      </c>
      <c r="Q59" s="7"/>
      <c r="R59" s="12" t="str">
        <f t="shared" si="12"/>
        <v>X</v>
      </c>
      <c r="S59" s="7"/>
      <c r="T59" s="12" t="str">
        <f t="shared" si="13"/>
        <v>X</v>
      </c>
      <c r="U59" s="7"/>
      <c r="V59" s="12" t="str">
        <f t="shared" si="14"/>
        <v>X</v>
      </c>
      <c r="W59" s="12"/>
      <c r="X59" s="19"/>
      <c r="Y59" s="7"/>
      <c r="Z59" s="12" t="str">
        <f t="shared" si="18"/>
        <v>X</v>
      </c>
      <c r="AA59" s="7"/>
      <c r="AB59" s="12" t="str">
        <f t="shared" si="16"/>
        <v>X</v>
      </c>
      <c r="AC59" s="7"/>
      <c r="AD59" s="12" t="str">
        <f t="shared" si="19"/>
        <v>X</v>
      </c>
      <c r="AE59" s="12"/>
      <c r="AF59" s="12"/>
      <c r="AG59" s="12"/>
    </row>
    <row r="60" spans="1:33" x14ac:dyDescent="0.45">
      <c r="A60" s="9" t="s">
        <v>196</v>
      </c>
      <c r="B60" s="6" t="s">
        <v>102</v>
      </c>
      <c r="C60" s="7"/>
      <c r="D60" s="12" t="str">
        <f t="shared" si="17"/>
        <v>X</v>
      </c>
      <c r="E60" s="7">
        <v>46055</v>
      </c>
      <c r="F60" s="12">
        <f t="shared" si="7"/>
        <v>46785</v>
      </c>
      <c r="G60" s="7">
        <v>46055</v>
      </c>
      <c r="H60" s="12">
        <f t="shared" si="8"/>
        <v>46785</v>
      </c>
      <c r="I60" s="7"/>
      <c r="J60" s="12"/>
      <c r="K60" s="7"/>
      <c r="L60" s="12"/>
      <c r="M60" s="7">
        <v>46056</v>
      </c>
      <c r="N60" s="12">
        <f t="shared" si="10"/>
        <v>46786</v>
      </c>
      <c r="O60" s="7"/>
      <c r="P60" s="12"/>
      <c r="Q60" s="7"/>
      <c r="R60" s="12"/>
      <c r="S60" s="7"/>
      <c r="T60" s="12"/>
      <c r="U60" s="7"/>
      <c r="V60" s="12"/>
      <c r="W60" s="12"/>
      <c r="X60" s="12"/>
      <c r="Y60" s="7"/>
      <c r="Z60" s="12"/>
      <c r="AA60" s="7"/>
      <c r="AB60" s="12"/>
      <c r="AC60" s="7"/>
      <c r="AD60" s="12"/>
      <c r="AE60" s="12"/>
      <c r="AF60" s="12"/>
      <c r="AG60" s="12"/>
    </row>
    <row r="61" spans="1:33" x14ac:dyDescent="0.45">
      <c r="A61" s="9" t="s">
        <v>29</v>
      </c>
      <c r="B61" s="6" t="s">
        <v>189</v>
      </c>
      <c r="C61" s="7"/>
      <c r="D61" s="12" t="str">
        <f t="shared" si="17"/>
        <v>X</v>
      </c>
      <c r="E61" s="7">
        <v>45547</v>
      </c>
      <c r="F61" s="12">
        <f t="shared" si="7"/>
        <v>46277</v>
      </c>
      <c r="G61" s="7">
        <v>45742</v>
      </c>
      <c r="H61" s="12">
        <f t="shared" si="8"/>
        <v>46472</v>
      </c>
      <c r="I61" s="7"/>
      <c r="J61" s="12" t="str">
        <f t="shared" si="9"/>
        <v>X</v>
      </c>
      <c r="K61" s="7">
        <v>45876</v>
      </c>
      <c r="L61" s="12">
        <f t="shared" si="0"/>
        <v>46606</v>
      </c>
      <c r="M61" s="7">
        <v>45722</v>
      </c>
      <c r="N61" s="12">
        <f t="shared" si="10"/>
        <v>46452</v>
      </c>
      <c r="O61" s="7">
        <v>46038</v>
      </c>
      <c r="P61" s="12">
        <f t="shared" si="11"/>
        <v>46403</v>
      </c>
      <c r="Q61" s="7">
        <v>46031</v>
      </c>
      <c r="R61" s="12">
        <f t="shared" si="12"/>
        <v>46396</v>
      </c>
      <c r="S61" s="7">
        <v>45751</v>
      </c>
      <c r="T61" s="12">
        <f t="shared" si="13"/>
        <v>46481</v>
      </c>
      <c r="U61" s="7">
        <v>45952</v>
      </c>
      <c r="V61" s="12">
        <f t="shared" si="14"/>
        <v>46682</v>
      </c>
      <c r="W61" s="12"/>
      <c r="X61" s="12"/>
      <c r="Y61" s="7"/>
      <c r="Z61" s="12" t="str">
        <f t="shared" si="18"/>
        <v>X</v>
      </c>
      <c r="AA61" s="7">
        <v>46211</v>
      </c>
      <c r="AB61" s="12">
        <f t="shared" si="16"/>
        <v>46942</v>
      </c>
      <c r="AC61" s="7"/>
      <c r="AD61" s="12" t="str">
        <f t="shared" si="19"/>
        <v>X</v>
      </c>
      <c r="AE61" s="12"/>
      <c r="AF61" s="12"/>
      <c r="AG61" s="12"/>
    </row>
    <row r="62" spans="1:33" s="21" customFormat="1" x14ac:dyDescent="0.45">
      <c r="A62" s="20" t="s">
        <v>157</v>
      </c>
      <c r="B62" s="6" t="s">
        <v>158</v>
      </c>
      <c r="C62" s="7"/>
      <c r="D62" s="12" t="str">
        <f t="shared" si="17"/>
        <v>X</v>
      </c>
      <c r="E62" s="7"/>
      <c r="F62" s="12" t="str">
        <f t="shared" si="7"/>
        <v>X</v>
      </c>
      <c r="G62" s="7"/>
      <c r="H62" s="12" t="str">
        <f t="shared" si="8"/>
        <v>X</v>
      </c>
      <c r="I62" s="7"/>
      <c r="J62" s="12" t="str">
        <f t="shared" si="9"/>
        <v>X</v>
      </c>
      <c r="K62" s="7"/>
      <c r="L62" s="12" t="str">
        <f t="shared" si="0"/>
        <v>X</v>
      </c>
      <c r="M62" s="7"/>
      <c r="N62" s="12" t="str">
        <f t="shared" si="10"/>
        <v>X</v>
      </c>
      <c r="O62" s="7"/>
      <c r="P62" s="12" t="str">
        <f t="shared" si="11"/>
        <v>X</v>
      </c>
      <c r="Q62" s="7"/>
      <c r="R62" s="12" t="str">
        <f t="shared" si="12"/>
        <v>X</v>
      </c>
      <c r="S62" s="7"/>
      <c r="T62" s="12" t="str">
        <f t="shared" si="13"/>
        <v>X</v>
      </c>
      <c r="U62" s="7"/>
      <c r="V62" s="12" t="str">
        <f t="shared" si="14"/>
        <v>X</v>
      </c>
      <c r="W62" s="12"/>
      <c r="X62" s="19"/>
      <c r="Y62" s="7"/>
      <c r="Z62" s="12" t="str">
        <f t="shared" si="18"/>
        <v>X</v>
      </c>
      <c r="AA62" s="7"/>
      <c r="AB62" s="12" t="str">
        <f t="shared" si="16"/>
        <v>X</v>
      </c>
      <c r="AC62" s="7"/>
      <c r="AD62" s="12" t="str">
        <f t="shared" si="19"/>
        <v>X</v>
      </c>
      <c r="AE62" s="12"/>
      <c r="AF62" s="12"/>
      <c r="AG62" s="12"/>
    </row>
    <row r="63" spans="1:33" s="21" customFormat="1" x14ac:dyDescent="0.45">
      <c r="A63" s="20" t="s">
        <v>159</v>
      </c>
      <c r="B63" s="6" t="s">
        <v>151</v>
      </c>
      <c r="C63" s="7"/>
      <c r="D63" s="12" t="str">
        <f t="shared" si="17"/>
        <v>X</v>
      </c>
      <c r="E63" s="7"/>
      <c r="F63" s="12" t="str">
        <f t="shared" si="7"/>
        <v>X</v>
      </c>
      <c r="G63" s="7"/>
      <c r="H63" s="12" t="str">
        <f t="shared" si="8"/>
        <v>X</v>
      </c>
      <c r="I63" s="7"/>
      <c r="J63" s="12" t="str">
        <f t="shared" si="9"/>
        <v>X</v>
      </c>
      <c r="K63" s="7">
        <v>46084</v>
      </c>
      <c r="L63" s="12">
        <f t="shared" si="0"/>
        <v>46815</v>
      </c>
      <c r="M63" s="7"/>
      <c r="N63" s="12" t="str">
        <f t="shared" si="10"/>
        <v>X</v>
      </c>
      <c r="O63" s="7"/>
      <c r="P63" s="12" t="str">
        <f t="shared" si="11"/>
        <v>X</v>
      </c>
      <c r="Q63" s="7"/>
      <c r="R63" s="12" t="str">
        <f t="shared" si="12"/>
        <v>X</v>
      </c>
      <c r="S63" s="7"/>
      <c r="T63" s="12" t="str">
        <f t="shared" si="13"/>
        <v>X</v>
      </c>
      <c r="U63" s="7"/>
      <c r="V63" s="12" t="str">
        <f t="shared" si="14"/>
        <v>X</v>
      </c>
      <c r="W63" s="12"/>
      <c r="X63" s="19"/>
      <c r="Y63" s="7"/>
      <c r="Z63" s="12" t="str">
        <f t="shared" si="18"/>
        <v>X</v>
      </c>
      <c r="AA63" s="7"/>
      <c r="AB63" s="12" t="str">
        <f t="shared" si="16"/>
        <v>X</v>
      </c>
      <c r="AC63" s="7"/>
      <c r="AD63" s="12" t="str">
        <f t="shared" si="19"/>
        <v>X</v>
      </c>
      <c r="AE63" s="12"/>
      <c r="AF63" s="12"/>
      <c r="AG63" s="12"/>
    </row>
    <row r="64" spans="1:33" x14ac:dyDescent="0.45">
      <c r="A64" s="9" t="s">
        <v>213</v>
      </c>
      <c r="B64" s="6" t="s">
        <v>136</v>
      </c>
      <c r="C64" s="7"/>
      <c r="D64" s="12" t="str">
        <f t="shared" si="17"/>
        <v>X</v>
      </c>
      <c r="E64" s="7">
        <v>45576</v>
      </c>
      <c r="F64" s="12">
        <f t="shared" si="7"/>
        <v>46306</v>
      </c>
      <c r="G64" s="7">
        <v>46086</v>
      </c>
      <c r="H64" s="12">
        <f t="shared" si="8"/>
        <v>46817</v>
      </c>
      <c r="I64" s="7"/>
      <c r="J64" s="12" t="str">
        <f t="shared" si="9"/>
        <v>X</v>
      </c>
      <c r="K64" s="7">
        <v>46084</v>
      </c>
      <c r="L64" s="12">
        <f t="shared" si="0"/>
        <v>46815</v>
      </c>
      <c r="M64" s="7">
        <v>45656</v>
      </c>
      <c r="N64" s="12">
        <f t="shared" si="10"/>
        <v>46386</v>
      </c>
      <c r="O64" s="7">
        <v>46113</v>
      </c>
      <c r="P64" s="12">
        <f t="shared" si="11"/>
        <v>46478</v>
      </c>
      <c r="Q64" s="7">
        <v>46042</v>
      </c>
      <c r="R64" s="12">
        <f t="shared" si="12"/>
        <v>46407</v>
      </c>
      <c r="S64" s="7">
        <v>45748</v>
      </c>
      <c r="T64" s="12">
        <f t="shared" si="13"/>
        <v>46478</v>
      </c>
      <c r="U64" s="7">
        <v>45749</v>
      </c>
      <c r="V64" s="12">
        <f t="shared" si="14"/>
        <v>46479</v>
      </c>
      <c r="W64" s="12"/>
      <c r="X64" s="12"/>
      <c r="Y64" s="7"/>
      <c r="Z64" s="12" t="str">
        <f t="shared" si="18"/>
        <v>X</v>
      </c>
      <c r="AA64" s="7"/>
      <c r="AB64" s="12" t="str">
        <f t="shared" si="16"/>
        <v>X</v>
      </c>
      <c r="AC64" s="7"/>
      <c r="AD64" s="12" t="str">
        <f t="shared" si="19"/>
        <v>X</v>
      </c>
      <c r="AE64" s="12"/>
      <c r="AF64" s="16"/>
    </row>
    <row r="65" spans="1:37" s="21" customFormat="1" x14ac:dyDescent="0.45">
      <c r="A65" s="20" t="s">
        <v>160</v>
      </c>
      <c r="B65" s="6" t="s">
        <v>132</v>
      </c>
      <c r="C65" s="7"/>
      <c r="D65" s="12" t="str">
        <f t="shared" si="17"/>
        <v>X</v>
      </c>
      <c r="E65" s="7"/>
      <c r="F65" s="12" t="str">
        <f t="shared" si="7"/>
        <v>X</v>
      </c>
      <c r="G65" s="7"/>
      <c r="H65" s="12" t="str">
        <f t="shared" si="8"/>
        <v>X</v>
      </c>
      <c r="I65" s="7"/>
      <c r="J65" s="12" t="str">
        <f t="shared" si="9"/>
        <v>X</v>
      </c>
      <c r="K65" s="7"/>
      <c r="L65" s="12" t="str">
        <f t="shared" si="0"/>
        <v>X</v>
      </c>
      <c r="M65" s="7"/>
      <c r="N65" s="12" t="str">
        <f t="shared" si="10"/>
        <v>X</v>
      </c>
      <c r="O65" s="7"/>
      <c r="P65" s="12" t="str">
        <f t="shared" si="11"/>
        <v>X</v>
      </c>
      <c r="Q65" s="7"/>
      <c r="R65" s="12" t="str">
        <f t="shared" si="12"/>
        <v>X</v>
      </c>
      <c r="S65" s="7"/>
      <c r="T65" s="12" t="str">
        <f t="shared" si="13"/>
        <v>X</v>
      </c>
      <c r="U65" s="7"/>
      <c r="V65" s="12" t="str">
        <f t="shared" si="14"/>
        <v>X</v>
      </c>
      <c r="W65" s="12"/>
      <c r="X65" s="19"/>
      <c r="Y65" s="7"/>
      <c r="Z65" s="12" t="str">
        <f t="shared" si="18"/>
        <v>X</v>
      </c>
      <c r="AA65" s="7"/>
      <c r="AB65" s="12" t="str">
        <f t="shared" si="16"/>
        <v>X</v>
      </c>
      <c r="AC65" s="7"/>
      <c r="AD65" s="12" t="str">
        <f t="shared" si="19"/>
        <v>X</v>
      </c>
      <c r="AE65" s="16"/>
      <c r="AF65" s="16"/>
      <c r="AG65" s="16"/>
    </row>
    <row r="66" spans="1:37" s="21" customFormat="1" x14ac:dyDescent="0.45">
      <c r="A66" s="20" t="s">
        <v>164</v>
      </c>
      <c r="B66" s="6" t="s">
        <v>165</v>
      </c>
      <c r="C66" s="7"/>
      <c r="D66" s="12"/>
      <c r="E66" s="7"/>
      <c r="F66" s="12"/>
      <c r="G66" s="7"/>
      <c r="H66" s="12"/>
      <c r="I66" s="7"/>
      <c r="J66" s="12"/>
      <c r="K66" s="7"/>
      <c r="L66" s="12"/>
      <c r="M66" s="7"/>
      <c r="N66" s="12"/>
      <c r="O66" s="7"/>
      <c r="P66" s="12"/>
      <c r="Q66" s="7"/>
      <c r="R66" s="12"/>
      <c r="S66" s="7"/>
      <c r="T66" s="12"/>
      <c r="U66" s="7"/>
      <c r="V66" s="12"/>
      <c r="W66" s="12"/>
      <c r="X66" s="19"/>
      <c r="Y66" s="7"/>
      <c r="Z66" s="12"/>
      <c r="AA66" s="7"/>
      <c r="AB66" s="12"/>
      <c r="AC66" s="7"/>
      <c r="AD66" s="12"/>
      <c r="AE66" s="16"/>
      <c r="AF66" s="16"/>
      <c r="AG66"/>
    </row>
    <row r="67" spans="1:37" x14ac:dyDescent="0.45">
      <c r="A67" s="9" t="s">
        <v>97</v>
      </c>
      <c r="B67" s="6" t="s">
        <v>211</v>
      </c>
      <c r="C67" s="7"/>
      <c r="D67" s="12" t="str">
        <f t="shared" ref="D67:D120" si="20">IF(YEAR(C67) &lt;= 1990, "X", DATE(YEAR(C67)+2, MONTH(C67), DAY(C67)))</f>
        <v>X</v>
      </c>
      <c r="E67" s="7">
        <v>46041</v>
      </c>
      <c r="F67" s="12">
        <f t="shared" si="7"/>
        <v>46771</v>
      </c>
      <c r="G67" s="7">
        <v>45749</v>
      </c>
      <c r="H67" s="12">
        <f t="shared" si="8"/>
        <v>46479</v>
      </c>
      <c r="I67" s="7">
        <v>45740</v>
      </c>
      <c r="J67" s="12">
        <f t="shared" si="9"/>
        <v>46470</v>
      </c>
      <c r="K67" s="7">
        <v>45866</v>
      </c>
      <c r="L67" s="12">
        <f t="shared" si="0"/>
        <v>46596</v>
      </c>
      <c r="M67" s="7">
        <v>45750</v>
      </c>
      <c r="N67" s="12">
        <f t="shared" si="10"/>
        <v>46480</v>
      </c>
      <c r="O67" s="7">
        <v>46170</v>
      </c>
      <c r="P67" s="12">
        <f t="shared" si="11"/>
        <v>46535</v>
      </c>
      <c r="Q67" s="7"/>
      <c r="R67" s="12" t="str">
        <f t="shared" si="12"/>
        <v>X</v>
      </c>
      <c r="S67" s="7">
        <v>45748</v>
      </c>
      <c r="T67" s="12">
        <f t="shared" si="13"/>
        <v>46478</v>
      </c>
      <c r="U67" s="7">
        <v>46172</v>
      </c>
      <c r="V67" s="12">
        <f t="shared" si="14"/>
        <v>46903</v>
      </c>
      <c r="W67" s="12">
        <v>45831</v>
      </c>
      <c r="X67" s="12"/>
      <c r="Y67" s="7"/>
      <c r="Z67" s="12" t="str">
        <f t="shared" si="18"/>
        <v>X</v>
      </c>
      <c r="AA67" s="7"/>
      <c r="AB67" s="12" t="str">
        <f t="shared" si="16"/>
        <v>X</v>
      </c>
      <c r="AC67" s="7"/>
      <c r="AD67" s="12" t="str">
        <f t="shared" si="19"/>
        <v>X</v>
      </c>
      <c r="AE67" s="12"/>
      <c r="AF67" s="16"/>
    </row>
    <row r="68" spans="1:37" x14ac:dyDescent="0.45">
      <c r="A68" s="9" t="s">
        <v>67</v>
      </c>
      <c r="B68" s="6" t="s">
        <v>28</v>
      </c>
      <c r="C68" s="7"/>
      <c r="D68" s="12" t="str">
        <f t="shared" si="20"/>
        <v>X</v>
      </c>
      <c r="E68" s="7">
        <v>45748</v>
      </c>
      <c r="F68" s="12">
        <f t="shared" si="7"/>
        <v>46478</v>
      </c>
      <c r="G68" s="7">
        <v>46069</v>
      </c>
      <c r="H68" s="12">
        <f t="shared" si="8"/>
        <v>46799</v>
      </c>
      <c r="I68" s="7">
        <v>46118</v>
      </c>
      <c r="J68" s="12">
        <f t="shared" si="9"/>
        <v>46849</v>
      </c>
      <c r="K68" s="7">
        <v>45730</v>
      </c>
      <c r="L68" s="12">
        <f t="shared" ref="L68:L120" si="21">IF(YEAR(K68) &lt;= 1990, "X", DATE(YEAR(K68)+2, MONTH(K68), DAY(K68)))</f>
        <v>46460</v>
      </c>
      <c r="M68" s="7">
        <v>46060</v>
      </c>
      <c r="N68" s="12">
        <f t="shared" si="10"/>
        <v>46790</v>
      </c>
      <c r="O68" s="7">
        <v>46065</v>
      </c>
      <c r="P68" s="12">
        <f t="shared" si="11"/>
        <v>46430</v>
      </c>
      <c r="Q68" s="7">
        <v>46062</v>
      </c>
      <c r="R68" s="12">
        <f t="shared" si="12"/>
        <v>46427</v>
      </c>
      <c r="S68" s="7">
        <v>46114</v>
      </c>
      <c r="T68" s="12">
        <f t="shared" si="13"/>
        <v>46845</v>
      </c>
      <c r="U68" s="7"/>
      <c r="V68" s="12" t="str">
        <f t="shared" si="14"/>
        <v>X</v>
      </c>
      <c r="W68" s="12"/>
      <c r="X68" s="12"/>
      <c r="Y68" s="7"/>
      <c r="Z68" s="12" t="str">
        <f t="shared" si="18"/>
        <v>X</v>
      </c>
      <c r="AA68" s="7"/>
      <c r="AB68" s="12" t="str">
        <f t="shared" si="16"/>
        <v>X</v>
      </c>
      <c r="AC68" s="7"/>
      <c r="AD68" s="12" t="str">
        <f t="shared" si="19"/>
        <v>X</v>
      </c>
      <c r="AE68" s="12"/>
      <c r="AF68" s="12"/>
    </row>
    <row r="69" spans="1:37" s="21" customFormat="1" x14ac:dyDescent="0.45">
      <c r="A69" s="20" t="s">
        <v>161</v>
      </c>
      <c r="B69" s="6" t="s">
        <v>151</v>
      </c>
      <c r="C69" s="7"/>
      <c r="D69" s="12" t="str">
        <f t="shared" si="20"/>
        <v>X</v>
      </c>
      <c r="E69" s="7"/>
      <c r="F69" s="12" t="str">
        <f t="shared" si="7"/>
        <v>X</v>
      </c>
      <c r="G69" s="7"/>
      <c r="H69" s="12" t="str">
        <f t="shared" si="8"/>
        <v>X</v>
      </c>
      <c r="I69" s="7"/>
      <c r="J69" s="12" t="str">
        <f t="shared" si="9"/>
        <v>X</v>
      </c>
      <c r="K69" s="7"/>
      <c r="L69" s="12" t="str">
        <f t="shared" si="21"/>
        <v>X</v>
      </c>
      <c r="M69" s="7"/>
      <c r="N69" s="12" t="str">
        <f t="shared" si="10"/>
        <v>X</v>
      </c>
      <c r="O69" s="7"/>
      <c r="P69" s="12" t="str">
        <f t="shared" si="11"/>
        <v>X</v>
      </c>
      <c r="Q69" s="7"/>
      <c r="R69" s="12" t="str">
        <f t="shared" si="12"/>
        <v>X</v>
      </c>
      <c r="S69" s="7"/>
      <c r="T69" s="12" t="str">
        <f t="shared" si="13"/>
        <v>X</v>
      </c>
      <c r="U69" s="7"/>
      <c r="V69" s="12" t="str">
        <f t="shared" si="14"/>
        <v>X</v>
      </c>
      <c r="W69" s="12"/>
      <c r="X69" s="19"/>
      <c r="Y69" s="7"/>
      <c r="Z69" s="12" t="str">
        <f t="shared" si="18"/>
        <v>X</v>
      </c>
      <c r="AA69" s="7"/>
      <c r="AB69" s="12" t="str">
        <f t="shared" si="16"/>
        <v>X</v>
      </c>
      <c r="AC69" s="7"/>
      <c r="AD69" s="12" t="str">
        <f t="shared" si="19"/>
        <v>X</v>
      </c>
      <c r="AE69" s="12"/>
      <c r="AF69" s="12"/>
      <c r="AG69" s="12"/>
      <c r="AH69" s="12"/>
      <c r="AI69" s="12"/>
      <c r="AJ69" s="12"/>
      <c r="AK69" s="12"/>
    </row>
    <row r="70" spans="1:37" s="21" customFormat="1" x14ac:dyDescent="0.45">
      <c r="A70" s="20" t="s">
        <v>162</v>
      </c>
      <c r="B70" s="6" t="s">
        <v>163</v>
      </c>
      <c r="C70" s="7"/>
      <c r="D70" s="12" t="str">
        <f t="shared" si="20"/>
        <v>X</v>
      </c>
      <c r="E70" s="7"/>
      <c r="F70" s="12" t="str">
        <f t="shared" si="7"/>
        <v>X</v>
      </c>
      <c r="G70" s="7"/>
      <c r="H70" s="12" t="str">
        <f t="shared" ref="H70:H120" si="22">IF(YEAR(G70) &lt;= 1990, "X", DATE(YEAR(G70)+2, MONTH(G70), DAY(G70)))</f>
        <v>X</v>
      </c>
      <c r="I70" s="7"/>
      <c r="J70" s="12" t="str">
        <f t="shared" ref="J70:J120" si="23">IF(YEAR(I70) &lt;= 1990, "X", DATE(YEAR(I70)+2, MONTH(I70), DAY(I70)))</f>
        <v>X</v>
      </c>
      <c r="K70" s="7"/>
      <c r="L70" s="12" t="str">
        <f t="shared" si="21"/>
        <v>X</v>
      </c>
      <c r="M70" s="7"/>
      <c r="N70" s="12" t="str">
        <f t="shared" ref="N70:N120" si="24">IF(YEAR(M70) &lt;= 1990, "X", DATE(YEAR(M70)+2, MONTH(M70), DAY(M70)))</f>
        <v>X</v>
      </c>
      <c r="O70" s="7"/>
      <c r="P70" s="12" t="str">
        <f t="shared" si="11"/>
        <v>X</v>
      </c>
      <c r="Q70" s="7"/>
      <c r="R70" s="12" t="str">
        <f t="shared" si="12"/>
        <v>X</v>
      </c>
      <c r="S70" s="7"/>
      <c r="T70" s="12" t="str">
        <f t="shared" ref="T70:T120" si="25">IF(YEAR(S70) &lt;= 1990, "X", DATE(YEAR(S70)+2, MONTH(S70), DAY(S70)))</f>
        <v>X</v>
      </c>
      <c r="U70" s="7"/>
      <c r="V70" s="12" t="str">
        <f t="shared" ref="V70:V120" si="26">IF(YEAR(U70) &lt;= 1990, "X", DATE(YEAR(U70)+2, MONTH(U70), DAY(U70)))</f>
        <v>X</v>
      </c>
      <c r="W70" s="12"/>
      <c r="X70" s="19"/>
      <c r="Y70" s="7"/>
      <c r="Z70" s="12" t="str">
        <f t="shared" si="18"/>
        <v>X</v>
      </c>
      <c r="AA70" s="7"/>
      <c r="AB70" s="12" t="str">
        <f t="shared" si="16"/>
        <v>X</v>
      </c>
      <c r="AC70" s="7"/>
      <c r="AD70" s="12" t="str">
        <f t="shared" si="19"/>
        <v>X</v>
      </c>
      <c r="AE70" s="12"/>
      <c r="AF70" s="12"/>
      <c r="AG70" s="12"/>
      <c r="AH70" s="12"/>
      <c r="AI70" s="12"/>
      <c r="AJ70" s="12"/>
      <c r="AK70" s="12"/>
    </row>
    <row r="71" spans="1:37" s="21" customFormat="1" x14ac:dyDescent="0.45">
      <c r="A71" s="9" t="s">
        <v>216</v>
      </c>
      <c r="B71" s="6"/>
      <c r="C71" s="7"/>
      <c r="D71" s="12" t="str">
        <f t="shared" si="20"/>
        <v>X</v>
      </c>
      <c r="E71" s="7">
        <v>46206</v>
      </c>
      <c r="F71" s="12">
        <f t="shared" si="7"/>
        <v>46937</v>
      </c>
      <c r="G71" s="7">
        <v>46206</v>
      </c>
      <c r="H71" s="12">
        <f t="shared" si="22"/>
        <v>46937</v>
      </c>
      <c r="I71" s="7"/>
      <c r="J71" s="12"/>
      <c r="K71" s="7">
        <v>46217</v>
      </c>
      <c r="L71" s="12">
        <f t="shared" si="21"/>
        <v>46948</v>
      </c>
      <c r="M71" s="7">
        <v>46206</v>
      </c>
      <c r="N71" s="12">
        <f t="shared" ref="N71" si="27">IF(YEAR(M71) &lt;= 1990, "X", DATE(YEAR(M71)+2, MONTH(M71), DAY(M71)))</f>
        <v>46937</v>
      </c>
      <c r="O71" s="7">
        <v>46209</v>
      </c>
      <c r="P71" s="12">
        <f t="shared" ref="P71" si="28">IF(YEAR(O71) &lt;= 1990, "X", DATE(YEAR(O71)+1, MONTH(O71), DAY(O71)))</f>
        <v>46574</v>
      </c>
      <c r="Q71" s="7">
        <v>46211</v>
      </c>
      <c r="R71" s="12">
        <f t="shared" ref="R71" si="29">IF(YEAR(Q71) &lt;= 1990, "X", DATE(YEAR(Q71)+1, MONTH(Q71), DAY(Q71)))</f>
        <v>46576</v>
      </c>
      <c r="S71" s="7">
        <v>46216</v>
      </c>
      <c r="T71" s="12">
        <f t="shared" ref="T71" si="30">IF(YEAR(S71) &lt;= 1990, "X", DATE(YEAR(S71)+2, MONTH(S71), DAY(S71)))</f>
        <v>46947</v>
      </c>
      <c r="U71" s="7"/>
      <c r="V71" s="12"/>
      <c r="W71" s="12"/>
      <c r="X71" s="19"/>
      <c r="Y71" s="7"/>
      <c r="Z71" s="12"/>
      <c r="AA71" s="7"/>
      <c r="AB71" s="12"/>
      <c r="AC71" s="7"/>
      <c r="AD71" s="12"/>
      <c r="AE71" s="12"/>
      <c r="AF71" s="12"/>
      <c r="AG71" s="12"/>
      <c r="AH71" s="12"/>
      <c r="AI71" s="12"/>
      <c r="AJ71" s="12"/>
      <c r="AK71" s="12"/>
    </row>
    <row r="72" spans="1:37" x14ac:dyDescent="0.45">
      <c r="A72" s="9" t="s">
        <v>105</v>
      </c>
      <c r="B72" s="6" t="s">
        <v>37</v>
      </c>
      <c r="C72" s="7"/>
      <c r="D72" s="12" t="str">
        <f t="shared" si="20"/>
        <v>X</v>
      </c>
      <c r="E72" s="7">
        <v>45999</v>
      </c>
      <c r="F72" s="12">
        <f t="shared" ref="F72:F120" si="31">IF(YEAR(E72) &lt;= 1990, "X", DATE(YEAR(E72)+2, MONTH(E72), DAY(E72)))</f>
        <v>46729</v>
      </c>
      <c r="G72" s="7">
        <v>45999</v>
      </c>
      <c r="H72" s="12">
        <f t="shared" si="22"/>
        <v>46729</v>
      </c>
      <c r="I72" s="7"/>
      <c r="J72" s="12" t="str">
        <f t="shared" si="23"/>
        <v>X</v>
      </c>
      <c r="K72" s="7">
        <v>46036</v>
      </c>
      <c r="L72" s="12">
        <f t="shared" si="21"/>
        <v>46766</v>
      </c>
      <c r="M72" s="7">
        <v>46037</v>
      </c>
      <c r="N72" s="12">
        <f t="shared" si="24"/>
        <v>46767</v>
      </c>
      <c r="O72" s="7">
        <v>45995</v>
      </c>
      <c r="P72" s="12">
        <f t="shared" ref="P72:P120" si="32">IF(YEAR(O72) &lt;= 1990, "X", DATE(YEAR(O72)+1, MONTH(O72), DAY(O72)))</f>
        <v>46360</v>
      </c>
      <c r="Q72" s="7">
        <v>46000</v>
      </c>
      <c r="R72" s="12">
        <f t="shared" ref="R72:R120" si="33">IF(YEAR(Q72) &lt;= 1990, "X", DATE(YEAR(Q72)+1, MONTH(Q72), DAY(Q72)))</f>
        <v>46365</v>
      </c>
      <c r="S72" s="7">
        <v>45994</v>
      </c>
      <c r="T72" s="12">
        <f t="shared" si="25"/>
        <v>46724</v>
      </c>
      <c r="U72" s="7">
        <v>46003</v>
      </c>
      <c r="V72" s="12">
        <f t="shared" si="26"/>
        <v>46733</v>
      </c>
      <c r="W72" s="12"/>
      <c r="X72" s="12"/>
      <c r="Y72" s="7"/>
      <c r="Z72" s="12" t="str">
        <f t="shared" si="18"/>
        <v>X</v>
      </c>
      <c r="AA72" s="7"/>
      <c r="AB72" s="12" t="str">
        <f t="shared" si="16"/>
        <v>X</v>
      </c>
      <c r="AC72" s="7"/>
      <c r="AD72" s="12" t="str">
        <f t="shared" si="19"/>
        <v>X</v>
      </c>
      <c r="AE72" s="12"/>
      <c r="AF72" s="12">
        <v>46127</v>
      </c>
      <c r="AG72" s="12"/>
      <c r="AH72" s="12"/>
      <c r="AI72" s="12"/>
      <c r="AJ72" s="12"/>
      <c r="AK72" s="12"/>
    </row>
    <row r="73" spans="1:37" x14ac:dyDescent="0.45">
      <c r="A73" s="9" t="s">
        <v>197</v>
      </c>
      <c r="B73" s="6" t="s">
        <v>106</v>
      </c>
      <c r="C73" s="7"/>
      <c r="D73" s="12" t="str">
        <f t="shared" si="20"/>
        <v>X</v>
      </c>
      <c r="E73" s="7">
        <v>46230</v>
      </c>
      <c r="F73" s="12">
        <f t="shared" si="31"/>
        <v>46961</v>
      </c>
      <c r="G73" s="7">
        <v>46128</v>
      </c>
      <c r="H73" s="12">
        <f t="shared" si="22"/>
        <v>46859</v>
      </c>
      <c r="I73" s="7"/>
      <c r="J73" s="12"/>
      <c r="K73" s="7"/>
      <c r="L73" s="12"/>
      <c r="M73" s="7">
        <v>46137</v>
      </c>
      <c r="N73" s="12">
        <f t="shared" si="24"/>
        <v>46868</v>
      </c>
      <c r="O73" s="7">
        <v>46132</v>
      </c>
      <c r="P73" s="12">
        <f t="shared" si="32"/>
        <v>46497</v>
      </c>
      <c r="Q73" s="7">
        <v>46134</v>
      </c>
      <c r="R73" s="12">
        <f t="shared" si="33"/>
        <v>46499</v>
      </c>
      <c r="S73" s="7">
        <v>46130</v>
      </c>
      <c r="T73" s="12">
        <f t="shared" si="25"/>
        <v>46861</v>
      </c>
      <c r="U73" s="7"/>
      <c r="V73" s="12"/>
      <c r="W73" s="12"/>
      <c r="X73" s="12"/>
      <c r="Y73" s="7"/>
      <c r="Z73" s="12"/>
      <c r="AA73" s="7"/>
      <c r="AB73" s="12"/>
      <c r="AC73" s="7"/>
      <c r="AD73" s="12"/>
      <c r="AE73" s="12"/>
      <c r="AF73" s="12"/>
      <c r="AG73" s="12"/>
      <c r="AH73" s="12"/>
      <c r="AI73" s="12"/>
      <c r="AJ73" s="12"/>
      <c r="AK73" s="12"/>
    </row>
    <row r="74" spans="1:37" s="21" customFormat="1" x14ac:dyDescent="0.45">
      <c r="A74" s="20" t="s">
        <v>31</v>
      </c>
      <c r="B74" s="6" t="s">
        <v>6</v>
      </c>
      <c r="C74" s="7"/>
      <c r="D74" s="12" t="str">
        <f t="shared" si="20"/>
        <v>X</v>
      </c>
      <c r="E74" s="7">
        <v>45049</v>
      </c>
      <c r="F74" s="12">
        <f t="shared" si="31"/>
        <v>45780</v>
      </c>
      <c r="G74" s="7">
        <v>45020</v>
      </c>
      <c r="H74" s="12">
        <f t="shared" si="22"/>
        <v>45751</v>
      </c>
      <c r="I74" s="7"/>
      <c r="J74" s="12" t="str">
        <f t="shared" si="23"/>
        <v>X</v>
      </c>
      <c r="K74" s="7"/>
      <c r="L74" s="12" t="str">
        <f t="shared" si="21"/>
        <v>X</v>
      </c>
      <c r="M74" s="7">
        <v>45049</v>
      </c>
      <c r="N74" s="12">
        <f t="shared" si="24"/>
        <v>45780</v>
      </c>
      <c r="O74" s="7"/>
      <c r="P74" s="12" t="str">
        <f t="shared" si="32"/>
        <v>X</v>
      </c>
      <c r="Q74" s="7"/>
      <c r="R74" s="12" t="str">
        <f t="shared" si="33"/>
        <v>X</v>
      </c>
      <c r="S74" s="7"/>
      <c r="T74" s="12" t="str">
        <f t="shared" si="25"/>
        <v>X</v>
      </c>
      <c r="U74" s="7"/>
      <c r="V74" s="12" t="str">
        <f t="shared" si="26"/>
        <v>X</v>
      </c>
      <c r="W74" s="12"/>
      <c r="X74" s="19"/>
      <c r="Y74" s="7"/>
      <c r="Z74" s="12" t="str">
        <f t="shared" si="18"/>
        <v>X</v>
      </c>
      <c r="AA74" s="7"/>
      <c r="AB74" s="12" t="str">
        <f t="shared" si="16"/>
        <v>X</v>
      </c>
      <c r="AC74" s="7"/>
      <c r="AD74" s="12" t="str">
        <f t="shared" si="19"/>
        <v>X</v>
      </c>
      <c r="AE74" s="12">
        <v>46119</v>
      </c>
      <c r="AF74" s="12"/>
      <c r="AG74" s="12"/>
      <c r="AH74" s="12"/>
      <c r="AI74" s="12"/>
      <c r="AJ74" s="12"/>
      <c r="AK74" s="12"/>
    </row>
    <row r="75" spans="1:37" s="21" customFormat="1" x14ac:dyDescent="0.45">
      <c r="A75" s="20" t="s">
        <v>166</v>
      </c>
      <c r="B75" s="6" t="s">
        <v>10</v>
      </c>
      <c r="C75" s="7"/>
      <c r="D75" s="12" t="str">
        <f t="shared" si="20"/>
        <v>X</v>
      </c>
      <c r="E75" s="7">
        <v>46055</v>
      </c>
      <c r="F75" s="12">
        <f t="shared" si="31"/>
        <v>46785</v>
      </c>
      <c r="G75" s="7">
        <v>46055</v>
      </c>
      <c r="H75" s="12">
        <f t="shared" si="22"/>
        <v>46785</v>
      </c>
      <c r="I75" s="7"/>
      <c r="J75" s="12" t="str">
        <f t="shared" si="23"/>
        <v>X</v>
      </c>
      <c r="K75" s="7"/>
      <c r="L75" s="12" t="str">
        <f t="shared" si="21"/>
        <v>X</v>
      </c>
      <c r="M75" s="7">
        <v>46056</v>
      </c>
      <c r="N75" s="12">
        <f t="shared" si="24"/>
        <v>46786</v>
      </c>
      <c r="O75" s="7"/>
      <c r="P75" s="12" t="str">
        <f t="shared" si="32"/>
        <v>X</v>
      </c>
      <c r="Q75" s="7"/>
      <c r="R75" s="12" t="str">
        <f t="shared" si="33"/>
        <v>X</v>
      </c>
      <c r="S75" s="7"/>
      <c r="T75" s="12" t="str">
        <f t="shared" si="25"/>
        <v>X</v>
      </c>
      <c r="U75" s="7"/>
      <c r="V75" s="12" t="str">
        <f t="shared" si="26"/>
        <v>X</v>
      </c>
      <c r="W75" s="12"/>
      <c r="X75" s="19"/>
      <c r="Y75" s="7"/>
      <c r="Z75" s="12" t="str">
        <f t="shared" si="18"/>
        <v>X</v>
      </c>
      <c r="AA75" s="7"/>
      <c r="AB75" s="12" t="str">
        <f t="shared" si="16"/>
        <v>X</v>
      </c>
      <c r="AC75" s="7"/>
      <c r="AD75" s="12" t="str">
        <f t="shared" si="19"/>
        <v>X</v>
      </c>
      <c r="AE75" s="12"/>
      <c r="AF75" s="12"/>
      <c r="AG75" s="12"/>
      <c r="AH75" s="12"/>
      <c r="AI75" s="12"/>
      <c r="AJ75" s="12"/>
      <c r="AK75" s="12"/>
    </row>
    <row r="76" spans="1:37" s="21" customFormat="1" x14ac:dyDescent="0.45">
      <c r="A76" s="9" t="s">
        <v>199</v>
      </c>
      <c r="B76" s="6" t="s">
        <v>183</v>
      </c>
      <c r="C76" s="7"/>
      <c r="D76" s="12" t="str">
        <f t="shared" si="20"/>
        <v>X</v>
      </c>
      <c r="E76" s="7">
        <v>46126</v>
      </c>
      <c r="F76" s="12">
        <f t="shared" si="31"/>
        <v>46857</v>
      </c>
      <c r="G76" s="7">
        <v>46126</v>
      </c>
      <c r="H76" s="12">
        <f t="shared" si="22"/>
        <v>46857</v>
      </c>
      <c r="I76" s="7"/>
      <c r="J76" s="12"/>
      <c r="K76" s="7">
        <v>46165</v>
      </c>
      <c r="L76" s="12">
        <f t="shared" si="21"/>
        <v>46896</v>
      </c>
      <c r="M76" s="7">
        <v>46129</v>
      </c>
      <c r="N76" s="12">
        <f t="shared" si="24"/>
        <v>46860</v>
      </c>
      <c r="O76" s="7">
        <v>46170</v>
      </c>
      <c r="P76" s="12">
        <f t="shared" si="32"/>
        <v>46535</v>
      </c>
      <c r="Q76" s="7">
        <v>46174</v>
      </c>
      <c r="R76" s="12">
        <f t="shared" si="33"/>
        <v>46539</v>
      </c>
      <c r="S76" s="7">
        <v>46167</v>
      </c>
      <c r="T76" s="12">
        <f t="shared" si="25"/>
        <v>46898</v>
      </c>
      <c r="U76" s="7"/>
      <c r="V76" s="12"/>
      <c r="W76" s="12"/>
      <c r="X76" s="19"/>
      <c r="Y76" s="7"/>
      <c r="Z76" s="12"/>
      <c r="AA76" s="7"/>
      <c r="AB76" s="12"/>
      <c r="AC76" s="7"/>
      <c r="AD76" s="12"/>
      <c r="AE76" s="12"/>
      <c r="AF76" s="12"/>
      <c r="AG76" s="12"/>
      <c r="AH76" s="12"/>
      <c r="AI76" s="12"/>
      <c r="AJ76" s="12"/>
      <c r="AK76" s="12"/>
    </row>
    <row r="77" spans="1:37" s="21" customFormat="1" x14ac:dyDescent="0.45">
      <c r="A77" s="20" t="s">
        <v>167</v>
      </c>
      <c r="B77" s="6" t="s">
        <v>158</v>
      </c>
      <c r="C77" s="7"/>
      <c r="D77" s="12" t="str">
        <f t="shared" si="20"/>
        <v>X</v>
      </c>
      <c r="E77" s="7"/>
      <c r="F77" s="12" t="str">
        <f t="shared" si="31"/>
        <v>X</v>
      </c>
      <c r="G77" s="7"/>
      <c r="H77" s="12" t="str">
        <f t="shared" si="22"/>
        <v>X</v>
      </c>
      <c r="I77" s="7"/>
      <c r="J77" s="12" t="str">
        <f t="shared" si="23"/>
        <v>X</v>
      </c>
      <c r="K77" s="7"/>
      <c r="L77" s="12" t="str">
        <f t="shared" si="21"/>
        <v>X</v>
      </c>
      <c r="M77" s="7"/>
      <c r="N77" s="12" t="str">
        <f t="shared" si="24"/>
        <v>X</v>
      </c>
      <c r="O77" s="7"/>
      <c r="P77" s="12" t="str">
        <f t="shared" si="32"/>
        <v>X</v>
      </c>
      <c r="Q77" s="7"/>
      <c r="R77" s="12" t="str">
        <f t="shared" si="33"/>
        <v>X</v>
      </c>
      <c r="S77" s="7"/>
      <c r="T77" s="12" t="str">
        <f t="shared" si="25"/>
        <v>X</v>
      </c>
      <c r="U77" s="7"/>
      <c r="V77" s="12" t="str">
        <f t="shared" si="26"/>
        <v>X</v>
      </c>
      <c r="W77" s="12"/>
      <c r="X77" s="19"/>
      <c r="Y77" s="7"/>
      <c r="Z77" s="12" t="str">
        <f t="shared" si="18"/>
        <v>X</v>
      </c>
      <c r="AA77" s="7"/>
      <c r="AB77" s="12" t="str">
        <f t="shared" si="16"/>
        <v>X</v>
      </c>
      <c r="AC77" s="7"/>
      <c r="AD77" s="12" t="str">
        <f t="shared" si="19"/>
        <v>X</v>
      </c>
      <c r="AE77" s="12"/>
      <c r="AF77" s="12"/>
      <c r="AG77" s="12"/>
      <c r="AH77" s="12"/>
      <c r="AI77" s="12"/>
      <c r="AJ77" s="12"/>
      <c r="AK77" s="12"/>
    </row>
    <row r="78" spans="1:37" s="21" customFormat="1" x14ac:dyDescent="0.45">
      <c r="A78" s="5" t="s">
        <v>228</v>
      </c>
      <c r="B78" s="6" t="s">
        <v>44</v>
      </c>
      <c r="C78" s="7"/>
      <c r="D78" s="12" t="str">
        <f t="shared" si="20"/>
        <v>X</v>
      </c>
      <c r="E78" s="7">
        <v>46083</v>
      </c>
      <c r="F78" s="12">
        <f t="shared" si="31"/>
        <v>46814</v>
      </c>
      <c r="G78" s="7">
        <v>46083</v>
      </c>
      <c r="H78" s="12">
        <f t="shared" si="22"/>
        <v>46814</v>
      </c>
      <c r="I78" s="7"/>
      <c r="J78" s="12"/>
      <c r="K78" s="7"/>
      <c r="L78" s="12"/>
      <c r="M78" s="7">
        <v>46083</v>
      </c>
      <c r="N78" s="12">
        <f t="shared" si="24"/>
        <v>46814</v>
      </c>
      <c r="O78" s="7"/>
      <c r="P78" s="12"/>
      <c r="Q78" s="7"/>
      <c r="R78" s="12"/>
      <c r="S78" s="7">
        <v>46171</v>
      </c>
      <c r="T78" s="12">
        <f t="shared" si="25"/>
        <v>46902</v>
      </c>
      <c r="U78" s="7"/>
      <c r="V78" s="12"/>
      <c r="W78" s="12"/>
      <c r="X78" s="19"/>
      <c r="Y78" s="7"/>
      <c r="Z78" s="12"/>
      <c r="AA78" s="7"/>
      <c r="AB78" s="12"/>
      <c r="AC78" s="7"/>
      <c r="AD78" s="12"/>
      <c r="AE78" s="12"/>
      <c r="AF78" s="12"/>
      <c r="AG78" s="12"/>
      <c r="AH78" s="12"/>
      <c r="AI78" s="12"/>
      <c r="AJ78" s="12"/>
      <c r="AK78" s="12"/>
    </row>
    <row r="79" spans="1:37" s="21" customFormat="1" x14ac:dyDescent="0.45">
      <c r="A79" s="20" t="s">
        <v>33</v>
      </c>
      <c r="B79" s="6" t="s">
        <v>73</v>
      </c>
      <c r="C79" s="7"/>
      <c r="D79" s="12" t="str">
        <f t="shared" si="20"/>
        <v>X</v>
      </c>
      <c r="E79" s="7">
        <v>45576</v>
      </c>
      <c r="F79" s="12">
        <f t="shared" si="31"/>
        <v>46306</v>
      </c>
      <c r="G79" s="7">
        <v>45715</v>
      </c>
      <c r="H79" s="12">
        <f t="shared" si="22"/>
        <v>46445</v>
      </c>
      <c r="I79" s="7"/>
      <c r="J79" s="12" t="str">
        <f t="shared" si="23"/>
        <v>X</v>
      </c>
      <c r="K79" s="7">
        <v>45091</v>
      </c>
      <c r="L79" s="12">
        <f t="shared" si="21"/>
        <v>45822</v>
      </c>
      <c r="M79" s="7">
        <v>45714</v>
      </c>
      <c r="N79" s="12">
        <f t="shared" si="24"/>
        <v>46444</v>
      </c>
      <c r="O79" s="7">
        <v>45348</v>
      </c>
      <c r="P79" s="12">
        <f t="shared" si="32"/>
        <v>45714</v>
      </c>
      <c r="Q79" s="7">
        <v>45350</v>
      </c>
      <c r="R79" s="12">
        <f t="shared" si="33"/>
        <v>45716</v>
      </c>
      <c r="S79" s="7">
        <v>45016</v>
      </c>
      <c r="T79" s="12">
        <f t="shared" si="25"/>
        <v>45747</v>
      </c>
      <c r="U79" s="7"/>
      <c r="V79" s="12" t="str">
        <f t="shared" si="26"/>
        <v>X</v>
      </c>
      <c r="W79" s="12"/>
      <c r="X79" s="19"/>
      <c r="Y79" s="7"/>
      <c r="Z79" s="12" t="str">
        <f t="shared" si="18"/>
        <v>X</v>
      </c>
      <c r="AA79" s="7"/>
      <c r="AB79" s="12" t="str">
        <f t="shared" si="16"/>
        <v>X</v>
      </c>
      <c r="AC79" s="7"/>
      <c r="AD79" s="12" t="str">
        <f t="shared" si="19"/>
        <v>X</v>
      </c>
      <c r="AE79" s="12"/>
      <c r="AF79" s="12"/>
      <c r="AG79" s="12"/>
      <c r="AH79" s="12"/>
      <c r="AI79" s="12"/>
      <c r="AJ79" s="12"/>
      <c r="AK79" s="12"/>
    </row>
    <row r="80" spans="1:37" s="21" customFormat="1" x14ac:dyDescent="0.45">
      <c r="A80" s="20" t="s">
        <v>32</v>
      </c>
      <c r="B80" s="6" t="s">
        <v>63</v>
      </c>
      <c r="C80" s="7"/>
      <c r="D80" s="12" t="str">
        <f t="shared" si="20"/>
        <v>X</v>
      </c>
      <c r="E80" s="7">
        <v>45328</v>
      </c>
      <c r="F80" s="12">
        <f t="shared" si="31"/>
        <v>46059</v>
      </c>
      <c r="G80" s="7">
        <v>45020</v>
      </c>
      <c r="H80" s="12">
        <f t="shared" si="22"/>
        <v>45751</v>
      </c>
      <c r="I80" s="7"/>
      <c r="J80" s="12" t="str">
        <f t="shared" si="23"/>
        <v>X</v>
      </c>
      <c r="K80" s="7">
        <v>45091</v>
      </c>
      <c r="L80" s="12">
        <f t="shared" si="21"/>
        <v>45822</v>
      </c>
      <c r="M80" s="7">
        <v>44963</v>
      </c>
      <c r="N80" s="12">
        <f t="shared" si="24"/>
        <v>45694</v>
      </c>
      <c r="O80" s="7">
        <v>45348</v>
      </c>
      <c r="P80" s="12">
        <f t="shared" si="32"/>
        <v>45714</v>
      </c>
      <c r="Q80" s="7">
        <v>44990</v>
      </c>
      <c r="R80" s="12">
        <f t="shared" si="33"/>
        <v>45356</v>
      </c>
      <c r="S80" s="7">
        <v>45016</v>
      </c>
      <c r="T80" s="12">
        <f t="shared" si="25"/>
        <v>45747</v>
      </c>
      <c r="U80" s="7"/>
      <c r="V80" s="12" t="str">
        <f t="shared" si="26"/>
        <v>X</v>
      </c>
      <c r="W80" s="12"/>
      <c r="X80" s="19"/>
      <c r="Y80" s="7"/>
      <c r="Z80" s="12" t="str">
        <f t="shared" si="18"/>
        <v>X</v>
      </c>
      <c r="AA80" s="7"/>
      <c r="AB80" s="12" t="str">
        <f t="shared" si="16"/>
        <v>X</v>
      </c>
      <c r="AC80" s="7"/>
      <c r="AD80" s="12" t="str">
        <f t="shared" si="19"/>
        <v>X</v>
      </c>
      <c r="AE80" s="12"/>
      <c r="AF80" s="12"/>
      <c r="AG80" s="12"/>
      <c r="AH80" s="12"/>
      <c r="AI80" s="12"/>
      <c r="AJ80" s="12"/>
      <c r="AK80" s="12"/>
    </row>
    <row r="81" spans="1:39" x14ac:dyDescent="0.45">
      <c r="A81" s="9" t="s">
        <v>112</v>
      </c>
      <c r="B81" s="6" t="s">
        <v>72</v>
      </c>
      <c r="C81" s="7"/>
      <c r="D81" s="12" t="str">
        <f t="shared" si="20"/>
        <v>X</v>
      </c>
      <c r="E81" s="7">
        <v>45880</v>
      </c>
      <c r="F81" s="12">
        <f t="shared" si="31"/>
        <v>46610</v>
      </c>
      <c r="G81" s="7">
        <v>45901</v>
      </c>
      <c r="H81" s="12">
        <f t="shared" si="22"/>
        <v>46631</v>
      </c>
      <c r="I81" s="7"/>
      <c r="J81" s="12" t="str">
        <f t="shared" si="23"/>
        <v>X</v>
      </c>
      <c r="K81" s="7">
        <v>45902</v>
      </c>
      <c r="L81" s="12">
        <f t="shared" si="21"/>
        <v>46632</v>
      </c>
      <c r="M81" s="7">
        <v>45903</v>
      </c>
      <c r="N81" s="12">
        <f t="shared" si="24"/>
        <v>46633</v>
      </c>
      <c r="O81" s="7">
        <v>45894</v>
      </c>
      <c r="P81" s="12">
        <f t="shared" si="32"/>
        <v>46259</v>
      </c>
      <c r="Q81" s="7">
        <v>45896</v>
      </c>
      <c r="R81" s="12">
        <f t="shared" si="33"/>
        <v>46261</v>
      </c>
      <c r="S81" s="7">
        <v>45898</v>
      </c>
      <c r="T81" s="12">
        <f t="shared" si="25"/>
        <v>46628</v>
      </c>
      <c r="U81" s="7"/>
      <c r="V81" s="12" t="str">
        <f t="shared" si="26"/>
        <v>X</v>
      </c>
      <c r="W81" s="12"/>
      <c r="X81" s="12"/>
      <c r="Y81" s="7"/>
      <c r="Z81" s="12" t="str">
        <f t="shared" si="18"/>
        <v>X</v>
      </c>
      <c r="AA81" s="7">
        <v>46029</v>
      </c>
      <c r="AB81" s="12">
        <f t="shared" si="16"/>
        <v>46759</v>
      </c>
      <c r="AC81" s="7"/>
      <c r="AD81" s="12" t="str">
        <f t="shared" si="19"/>
        <v>X</v>
      </c>
      <c r="AE81" s="12"/>
      <c r="AF81" s="12"/>
      <c r="AG81" s="12"/>
      <c r="AH81" s="12"/>
      <c r="AI81" s="12"/>
      <c r="AJ81" s="12"/>
      <c r="AK81" s="12"/>
    </row>
    <row r="82" spans="1:39" x14ac:dyDescent="0.45">
      <c r="A82" s="9" t="s">
        <v>208</v>
      </c>
      <c r="B82" s="6"/>
      <c r="C82" s="7"/>
      <c r="D82" s="12" t="str">
        <f t="shared" si="20"/>
        <v>X</v>
      </c>
      <c r="E82" s="7">
        <v>46156</v>
      </c>
      <c r="F82" s="12">
        <f t="shared" si="31"/>
        <v>46887</v>
      </c>
      <c r="G82" s="7">
        <v>46156</v>
      </c>
      <c r="H82" s="12">
        <f t="shared" si="22"/>
        <v>46887</v>
      </c>
      <c r="I82" s="7"/>
      <c r="J82" s="12"/>
      <c r="K82" s="7"/>
      <c r="L82" s="12"/>
      <c r="M82" s="7">
        <v>46156</v>
      </c>
      <c r="N82" s="12">
        <f t="shared" si="24"/>
        <v>46887</v>
      </c>
      <c r="O82" s="7"/>
      <c r="P82" s="12"/>
      <c r="Q82" s="7"/>
      <c r="R82" s="12"/>
      <c r="S82" s="7">
        <v>46157</v>
      </c>
      <c r="T82" s="12">
        <f t="shared" si="25"/>
        <v>46888</v>
      </c>
      <c r="U82" s="7"/>
      <c r="V82" s="12"/>
      <c r="W82" s="12"/>
      <c r="X82" s="12"/>
      <c r="Y82" s="7"/>
      <c r="Z82" s="12"/>
      <c r="AA82" s="7"/>
      <c r="AB82" s="12"/>
      <c r="AC82" s="7"/>
      <c r="AD82" s="12"/>
      <c r="AE82" s="12"/>
      <c r="AF82" s="12"/>
      <c r="AG82" s="12"/>
      <c r="AH82" s="12"/>
      <c r="AI82" s="12"/>
      <c r="AJ82" s="12"/>
      <c r="AK82" s="12"/>
    </row>
    <row r="83" spans="1:39" s="21" customFormat="1" x14ac:dyDescent="0.45">
      <c r="A83" s="20" t="s">
        <v>168</v>
      </c>
      <c r="B83" s="6" t="s">
        <v>44</v>
      </c>
      <c r="C83" s="7"/>
      <c r="D83" s="12" t="str">
        <f t="shared" si="20"/>
        <v>X</v>
      </c>
      <c r="E83" s="7"/>
      <c r="F83" s="12" t="str">
        <f t="shared" si="31"/>
        <v>X</v>
      </c>
      <c r="G83" s="7"/>
      <c r="H83" s="12" t="str">
        <f t="shared" si="22"/>
        <v>X</v>
      </c>
      <c r="I83" s="7"/>
      <c r="J83" s="12" t="str">
        <f t="shared" si="23"/>
        <v>X</v>
      </c>
      <c r="K83" s="7"/>
      <c r="L83" s="12" t="str">
        <f t="shared" si="21"/>
        <v>X</v>
      </c>
      <c r="M83" s="7"/>
      <c r="N83" s="12" t="str">
        <f t="shared" si="24"/>
        <v>X</v>
      </c>
      <c r="O83" s="7"/>
      <c r="P83" s="12" t="str">
        <f t="shared" si="32"/>
        <v>X</v>
      </c>
      <c r="Q83" s="7"/>
      <c r="R83" s="12" t="str">
        <f t="shared" si="33"/>
        <v>X</v>
      </c>
      <c r="S83" s="7"/>
      <c r="T83" s="12" t="str">
        <f t="shared" si="25"/>
        <v>X</v>
      </c>
      <c r="U83" s="7"/>
      <c r="V83" s="12" t="str">
        <f t="shared" si="26"/>
        <v>X</v>
      </c>
      <c r="W83" s="12"/>
      <c r="X83" s="19"/>
      <c r="Y83" s="7"/>
      <c r="Z83" s="12" t="str">
        <f t="shared" si="18"/>
        <v>X</v>
      </c>
      <c r="AA83" s="7"/>
      <c r="AB83" s="12" t="str">
        <f t="shared" si="16"/>
        <v>X</v>
      </c>
      <c r="AC83" s="7"/>
      <c r="AD83" s="12" t="str">
        <f t="shared" si="19"/>
        <v>X</v>
      </c>
      <c r="AE83" s="12">
        <v>46119</v>
      </c>
      <c r="AF83" s="12"/>
      <c r="AG83" s="12"/>
      <c r="AH83" s="12"/>
      <c r="AI83" s="12"/>
      <c r="AJ83" s="12"/>
      <c r="AK83" s="12"/>
    </row>
    <row r="84" spans="1:39" s="21" customFormat="1" x14ac:dyDescent="0.45">
      <c r="A84" s="20" t="s">
        <v>169</v>
      </c>
      <c r="B84" s="6" t="s">
        <v>121</v>
      </c>
      <c r="C84" s="7"/>
      <c r="D84" s="12" t="str">
        <f t="shared" si="20"/>
        <v>X</v>
      </c>
      <c r="E84" s="7"/>
      <c r="F84" s="12" t="str">
        <f t="shared" si="31"/>
        <v>X</v>
      </c>
      <c r="G84" s="7"/>
      <c r="H84" s="12" t="str">
        <f t="shared" si="22"/>
        <v>X</v>
      </c>
      <c r="I84" s="7"/>
      <c r="J84" s="12" t="str">
        <f t="shared" si="23"/>
        <v>X</v>
      </c>
      <c r="K84" s="7"/>
      <c r="L84" s="12" t="str">
        <f t="shared" si="21"/>
        <v>X</v>
      </c>
      <c r="M84" s="7"/>
      <c r="N84" s="12" t="str">
        <f t="shared" si="24"/>
        <v>X</v>
      </c>
      <c r="O84" s="7"/>
      <c r="P84" s="12" t="str">
        <f t="shared" si="32"/>
        <v>X</v>
      </c>
      <c r="Q84" s="7"/>
      <c r="R84" s="12" t="str">
        <f t="shared" si="33"/>
        <v>X</v>
      </c>
      <c r="S84" s="7"/>
      <c r="T84" s="12" t="str">
        <f t="shared" si="25"/>
        <v>X</v>
      </c>
      <c r="U84" s="7"/>
      <c r="V84" s="12" t="str">
        <f t="shared" si="26"/>
        <v>X</v>
      </c>
      <c r="W84" s="12"/>
      <c r="X84" s="19"/>
      <c r="Y84" s="7"/>
      <c r="Z84" s="12" t="str">
        <f t="shared" si="18"/>
        <v>X</v>
      </c>
      <c r="AA84" s="7"/>
      <c r="AB84" s="12" t="str">
        <f t="shared" si="16"/>
        <v>X</v>
      </c>
      <c r="AC84" s="7"/>
      <c r="AD84" s="12" t="str">
        <f t="shared" si="19"/>
        <v>X</v>
      </c>
      <c r="AE84" s="12"/>
      <c r="AF84" s="12"/>
      <c r="AG84" s="12"/>
      <c r="AH84" s="12"/>
      <c r="AI84" s="12"/>
      <c r="AJ84" s="12"/>
      <c r="AK84" s="12"/>
    </row>
    <row r="85" spans="1:39" s="21" customFormat="1" x14ac:dyDescent="0.45">
      <c r="A85" s="20" t="s">
        <v>170</v>
      </c>
      <c r="B85" s="6" t="s">
        <v>171</v>
      </c>
      <c r="C85" s="7"/>
      <c r="D85" s="12" t="str">
        <f t="shared" si="20"/>
        <v>X</v>
      </c>
      <c r="E85" s="7"/>
      <c r="F85" s="12" t="str">
        <f t="shared" si="31"/>
        <v>X</v>
      </c>
      <c r="G85" s="7"/>
      <c r="H85" s="12" t="str">
        <f t="shared" si="22"/>
        <v>X</v>
      </c>
      <c r="I85" s="7"/>
      <c r="J85" s="12" t="str">
        <f t="shared" si="23"/>
        <v>X</v>
      </c>
      <c r="K85" s="7"/>
      <c r="L85" s="12" t="str">
        <f t="shared" si="21"/>
        <v>X</v>
      </c>
      <c r="M85" s="7"/>
      <c r="N85" s="12" t="str">
        <f t="shared" si="24"/>
        <v>X</v>
      </c>
      <c r="O85" s="7"/>
      <c r="P85" s="12" t="str">
        <f t="shared" si="32"/>
        <v>X</v>
      </c>
      <c r="Q85" s="7"/>
      <c r="R85" s="12" t="str">
        <f t="shared" si="33"/>
        <v>X</v>
      </c>
      <c r="S85" s="7"/>
      <c r="T85" s="12" t="str">
        <f t="shared" si="25"/>
        <v>X</v>
      </c>
      <c r="U85" s="7"/>
      <c r="V85" s="12" t="str">
        <f t="shared" si="26"/>
        <v>X</v>
      </c>
      <c r="W85" s="12"/>
      <c r="X85" s="19"/>
      <c r="Y85" s="7"/>
      <c r="Z85" s="12" t="str">
        <f t="shared" si="18"/>
        <v>X</v>
      </c>
      <c r="AA85" s="7"/>
      <c r="AB85" s="12" t="str">
        <f t="shared" si="16"/>
        <v>X</v>
      </c>
      <c r="AC85" s="7"/>
      <c r="AD85" s="12" t="str">
        <f t="shared" si="19"/>
        <v>X</v>
      </c>
      <c r="AE85" s="12"/>
      <c r="AF85" s="12"/>
      <c r="AG85" s="12"/>
      <c r="AH85" s="12"/>
      <c r="AI85" s="12"/>
      <c r="AJ85" s="12"/>
      <c r="AK85" s="12"/>
    </row>
    <row r="86" spans="1:39" x14ac:dyDescent="0.45">
      <c r="A86" s="9" t="s">
        <v>34</v>
      </c>
      <c r="B86" s="6" t="s">
        <v>28</v>
      </c>
      <c r="C86" s="7"/>
      <c r="D86" s="12" t="str">
        <f t="shared" si="20"/>
        <v>X</v>
      </c>
      <c r="E86" s="7">
        <v>45946</v>
      </c>
      <c r="F86" s="12">
        <f t="shared" si="31"/>
        <v>46676</v>
      </c>
      <c r="G86" s="7">
        <v>45948</v>
      </c>
      <c r="H86" s="12">
        <f t="shared" si="22"/>
        <v>46678</v>
      </c>
      <c r="I86" s="7">
        <v>45922</v>
      </c>
      <c r="J86" s="12">
        <f t="shared" si="23"/>
        <v>46652</v>
      </c>
      <c r="K86" s="7">
        <v>46084</v>
      </c>
      <c r="L86" s="12">
        <f t="shared" si="21"/>
        <v>46815</v>
      </c>
      <c r="M86" s="7">
        <v>45947</v>
      </c>
      <c r="N86" s="12">
        <f t="shared" si="24"/>
        <v>46677</v>
      </c>
      <c r="O86" s="7">
        <v>46146</v>
      </c>
      <c r="P86" s="12">
        <f t="shared" si="32"/>
        <v>46511</v>
      </c>
      <c r="Q86" s="7">
        <v>46148</v>
      </c>
      <c r="R86" s="12">
        <f t="shared" si="33"/>
        <v>46513</v>
      </c>
      <c r="S86" s="7">
        <v>45941</v>
      </c>
      <c r="T86" s="12">
        <f t="shared" si="25"/>
        <v>46671</v>
      </c>
      <c r="U86" s="7">
        <v>46153</v>
      </c>
      <c r="V86" s="12">
        <f t="shared" si="26"/>
        <v>46884</v>
      </c>
      <c r="W86" s="12"/>
      <c r="X86" s="12"/>
      <c r="Y86" s="7"/>
      <c r="Z86" s="12" t="str">
        <f t="shared" si="18"/>
        <v>X</v>
      </c>
      <c r="AA86" s="7"/>
      <c r="AB86" s="12" t="str">
        <f t="shared" si="16"/>
        <v>X</v>
      </c>
      <c r="AC86" s="7"/>
      <c r="AD86" s="12" t="str">
        <f t="shared" si="19"/>
        <v>X</v>
      </c>
      <c r="AE86" s="12">
        <v>46119</v>
      </c>
      <c r="AF86" s="12"/>
      <c r="AG86" s="12"/>
      <c r="AH86" s="12"/>
      <c r="AI86" s="12"/>
      <c r="AJ86" s="12"/>
      <c r="AK86" s="12"/>
    </row>
    <row r="87" spans="1:39" x14ac:dyDescent="0.45">
      <c r="A87" s="9" t="s">
        <v>48</v>
      </c>
      <c r="B87" s="6" t="s">
        <v>49</v>
      </c>
      <c r="C87" s="7"/>
      <c r="D87" s="12" t="str">
        <f t="shared" si="20"/>
        <v>X</v>
      </c>
      <c r="E87" s="7">
        <v>46153</v>
      </c>
      <c r="F87" s="12">
        <f t="shared" si="31"/>
        <v>46884</v>
      </c>
      <c r="G87" s="7">
        <v>45841</v>
      </c>
      <c r="H87" s="12">
        <f t="shared" si="22"/>
        <v>46571</v>
      </c>
      <c r="I87" s="7"/>
      <c r="J87" s="12" t="str">
        <f t="shared" si="23"/>
        <v>X</v>
      </c>
      <c r="K87" s="7"/>
      <c r="L87" s="12" t="str">
        <f t="shared" si="21"/>
        <v>X</v>
      </c>
      <c r="M87" s="7">
        <v>46139</v>
      </c>
      <c r="N87" s="12">
        <f t="shared" si="24"/>
        <v>46870</v>
      </c>
      <c r="O87" s="7"/>
      <c r="P87" s="12" t="str">
        <f t="shared" si="32"/>
        <v>X</v>
      </c>
      <c r="Q87" s="7"/>
      <c r="R87" s="12" t="str">
        <f t="shared" si="33"/>
        <v>X</v>
      </c>
      <c r="S87" s="7">
        <v>46140</v>
      </c>
      <c r="T87" s="12">
        <f t="shared" si="25"/>
        <v>46871</v>
      </c>
      <c r="U87" s="7"/>
      <c r="V87" s="12" t="str">
        <f t="shared" si="26"/>
        <v>X</v>
      </c>
      <c r="W87" s="12"/>
      <c r="X87" s="12"/>
      <c r="Y87" s="7">
        <v>46146</v>
      </c>
      <c r="Z87" s="12">
        <f t="shared" si="18"/>
        <v>46877</v>
      </c>
      <c r="AA87" s="7"/>
      <c r="AB87" s="12" t="str">
        <f t="shared" si="16"/>
        <v>X</v>
      </c>
      <c r="AC87" s="7">
        <v>45848</v>
      </c>
      <c r="AD87" s="12">
        <f t="shared" si="19"/>
        <v>46578</v>
      </c>
      <c r="AE87" s="12"/>
      <c r="AF87" s="12"/>
      <c r="AG87" s="12"/>
      <c r="AH87" s="12"/>
      <c r="AI87" s="12"/>
      <c r="AJ87" s="12"/>
      <c r="AK87" s="12"/>
    </row>
    <row r="88" spans="1:39" x14ac:dyDescent="0.45">
      <c r="A88" s="5" t="s">
        <v>35</v>
      </c>
      <c r="B88" s="6" t="s">
        <v>36</v>
      </c>
      <c r="C88" s="7"/>
      <c r="D88" s="12" t="str">
        <f t="shared" si="20"/>
        <v>X</v>
      </c>
      <c r="E88" s="7">
        <v>46212</v>
      </c>
      <c r="F88" s="12">
        <f t="shared" si="31"/>
        <v>46943</v>
      </c>
      <c r="G88" s="7">
        <v>46212</v>
      </c>
      <c r="H88" s="12">
        <f t="shared" si="22"/>
        <v>46943</v>
      </c>
      <c r="I88" s="7"/>
      <c r="J88" s="12" t="str">
        <f t="shared" si="23"/>
        <v>X</v>
      </c>
      <c r="K88" s="7">
        <v>46211</v>
      </c>
      <c r="L88" s="12">
        <f t="shared" si="21"/>
        <v>46942</v>
      </c>
      <c r="M88" s="7">
        <v>46212</v>
      </c>
      <c r="N88" s="12">
        <f t="shared" si="24"/>
        <v>46943</v>
      </c>
      <c r="O88" s="7"/>
      <c r="P88" s="12" t="str">
        <f t="shared" si="32"/>
        <v>X</v>
      </c>
      <c r="Q88" s="7"/>
      <c r="R88" s="12" t="str">
        <f t="shared" si="33"/>
        <v>X</v>
      </c>
      <c r="S88" s="7">
        <v>46213</v>
      </c>
      <c r="T88" s="12">
        <f t="shared" si="25"/>
        <v>46944</v>
      </c>
      <c r="U88" s="7"/>
      <c r="V88" s="12" t="str">
        <f t="shared" si="26"/>
        <v>X</v>
      </c>
      <c r="W88" s="12"/>
      <c r="X88" s="12"/>
      <c r="Y88" s="7"/>
      <c r="Z88" s="12" t="str">
        <f t="shared" si="18"/>
        <v>X</v>
      </c>
      <c r="AA88" s="7"/>
      <c r="AB88" s="12" t="str">
        <f t="shared" si="16"/>
        <v>X</v>
      </c>
      <c r="AC88" s="7"/>
      <c r="AD88" s="12" t="str">
        <f t="shared" si="19"/>
        <v>X</v>
      </c>
      <c r="AE88" s="12"/>
      <c r="AF88" s="12"/>
      <c r="AG88" s="12"/>
      <c r="AH88" s="12"/>
      <c r="AI88" s="12"/>
      <c r="AJ88" s="12"/>
      <c r="AK88" s="12"/>
    </row>
    <row r="89" spans="1:39" x14ac:dyDescent="0.45">
      <c r="A89" s="9" t="s">
        <v>110</v>
      </c>
      <c r="B89" s="6" t="s">
        <v>106</v>
      </c>
      <c r="C89" s="7"/>
      <c r="D89" s="12" t="str">
        <f t="shared" si="20"/>
        <v>X</v>
      </c>
      <c r="E89" s="7">
        <v>45961</v>
      </c>
      <c r="F89" s="12">
        <f t="shared" si="31"/>
        <v>46691</v>
      </c>
      <c r="G89" s="7">
        <v>45961</v>
      </c>
      <c r="H89" s="12">
        <f t="shared" si="22"/>
        <v>46691</v>
      </c>
      <c r="I89" s="7"/>
      <c r="J89" s="12" t="str">
        <f t="shared" si="23"/>
        <v>X</v>
      </c>
      <c r="K89" s="7"/>
      <c r="L89" s="12" t="str">
        <f t="shared" si="21"/>
        <v>X</v>
      </c>
      <c r="M89" s="7">
        <v>45961</v>
      </c>
      <c r="N89" s="12">
        <f t="shared" si="24"/>
        <v>46691</v>
      </c>
      <c r="O89" s="7">
        <v>45957</v>
      </c>
      <c r="P89" s="12">
        <f t="shared" si="32"/>
        <v>46322</v>
      </c>
      <c r="Q89" s="7">
        <v>45965</v>
      </c>
      <c r="R89" s="12">
        <f t="shared" si="33"/>
        <v>46330</v>
      </c>
      <c r="S89" s="7">
        <v>45959</v>
      </c>
      <c r="T89" s="12">
        <f t="shared" si="25"/>
        <v>46689</v>
      </c>
      <c r="U89" s="7"/>
      <c r="V89" s="12" t="str">
        <f t="shared" si="26"/>
        <v>X</v>
      </c>
      <c r="W89" s="12"/>
      <c r="X89" s="12"/>
      <c r="Y89" s="7"/>
      <c r="Z89" s="12" t="str">
        <f t="shared" si="18"/>
        <v>X</v>
      </c>
      <c r="AA89" s="7"/>
      <c r="AB89" s="12" t="str">
        <f t="shared" si="16"/>
        <v>X</v>
      </c>
      <c r="AC89" s="7"/>
      <c r="AD89" s="12" t="str">
        <f t="shared" si="19"/>
        <v>X</v>
      </c>
      <c r="AE89" s="12"/>
      <c r="AF89" s="12"/>
      <c r="AG89" s="12"/>
      <c r="AH89" s="12"/>
      <c r="AI89" s="12"/>
      <c r="AJ89" s="12"/>
      <c r="AK89" s="12"/>
    </row>
    <row r="90" spans="1:39" s="21" customFormat="1" x14ac:dyDescent="0.45">
      <c r="A90" s="20" t="s">
        <v>172</v>
      </c>
      <c r="B90" s="6" t="s">
        <v>123</v>
      </c>
      <c r="C90" s="7"/>
      <c r="D90" s="12" t="str">
        <f t="shared" si="20"/>
        <v>X</v>
      </c>
      <c r="E90" s="7"/>
      <c r="F90" s="12" t="str">
        <f t="shared" si="31"/>
        <v>X</v>
      </c>
      <c r="G90" s="7"/>
      <c r="H90" s="12" t="str">
        <f t="shared" si="22"/>
        <v>X</v>
      </c>
      <c r="I90" s="7"/>
      <c r="J90" s="12" t="str">
        <f t="shared" si="23"/>
        <v>X</v>
      </c>
      <c r="K90" s="7"/>
      <c r="L90" s="12" t="str">
        <f t="shared" si="21"/>
        <v>X</v>
      </c>
      <c r="M90" s="7"/>
      <c r="N90" s="12" t="str">
        <f t="shared" si="24"/>
        <v>X</v>
      </c>
      <c r="O90" s="7"/>
      <c r="P90" s="12" t="str">
        <f t="shared" si="32"/>
        <v>X</v>
      </c>
      <c r="Q90" s="7"/>
      <c r="R90" s="12" t="str">
        <f t="shared" si="33"/>
        <v>X</v>
      </c>
      <c r="S90" s="7"/>
      <c r="T90" s="12" t="str">
        <f t="shared" si="25"/>
        <v>X</v>
      </c>
      <c r="U90" s="7"/>
      <c r="V90" s="12" t="str">
        <f t="shared" si="26"/>
        <v>X</v>
      </c>
      <c r="W90" s="12"/>
      <c r="X90" s="19"/>
      <c r="Y90" s="7"/>
      <c r="Z90" s="12" t="str">
        <f t="shared" si="18"/>
        <v>X</v>
      </c>
      <c r="AA90" s="7"/>
      <c r="AB90" s="12" t="str">
        <f t="shared" si="16"/>
        <v>X</v>
      </c>
      <c r="AC90" s="7"/>
      <c r="AD90" s="12" t="str">
        <f t="shared" si="19"/>
        <v>X</v>
      </c>
      <c r="AE90" s="12">
        <v>46119</v>
      </c>
      <c r="AF90" s="12"/>
      <c r="AG90" s="12"/>
      <c r="AH90" s="12"/>
      <c r="AI90" s="12"/>
      <c r="AJ90" s="12"/>
      <c r="AK90" s="12"/>
    </row>
    <row r="91" spans="1:39" x14ac:dyDescent="0.45">
      <c r="A91" s="9" t="s">
        <v>227</v>
      </c>
      <c r="B91" s="6" t="s">
        <v>72</v>
      </c>
      <c r="C91" s="7"/>
      <c r="D91" s="12" t="str">
        <f t="shared" si="20"/>
        <v>X</v>
      </c>
      <c r="E91" s="7">
        <v>46244</v>
      </c>
      <c r="F91" s="12">
        <f t="shared" si="31"/>
        <v>46975</v>
      </c>
      <c r="G91" s="7"/>
      <c r="H91" s="12"/>
      <c r="I91" s="7"/>
      <c r="J91" s="12"/>
      <c r="K91" s="7"/>
      <c r="L91" s="12"/>
      <c r="M91" s="7"/>
      <c r="N91" s="12"/>
      <c r="O91" s="7"/>
      <c r="P91" s="12"/>
      <c r="Q91" s="7"/>
      <c r="R91" s="12"/>
      <c r="S91" s="7"/>
      <c r="T91" s="12"/>
      <c r="U91" s="7"/>
      <c r="V91" s="12"/>
      <c r="W91" s="12"/>
      <c r="X91" s="12"/>
      <c r="Y91" s="7"/>
      <c r="Z91" s="12"/>
      <c r="AA91" s="7"/>
      <c r="AB91" s="12"/>
      <c r="AC91" s="7"/>
      <c r="AD91" s="12"/>
      <c r="AE91" s="12"/>
      <c r="AF91" s="16"/>
    </row>
    <row r="92" spans="1:39" x14ac:dyDescent="0.45">
      <c r="A92" s="9" t="s">
        <v>38</v>
      </c>
      <c r="B92" s="6" t="s">
        <v>45</v>
      </c>
      <c r="C92" s="7"/>
      <c r="D92" s="12" t="str">
        <f t="shared" si="20"/>
        <v>X</v>
      </c>
      <c r="E92" s="7">
        <v>45729</v>
      </c>
      <c r="F92" s="12">
        <f t="shared" si="31"/>
        <v>46459</v>
      </c>
      <c r="G92" s="7">
        <v>45741</v>
      </c>
      <c r="H92" s="12">
        <f t="shared" si="22"/>
        <v>46471</v>
      </c>
      <c r="I92" s="7"/>
      <c r="J92" s="12" t="str">
        <f t="shared" si="23"/>
        <v>X</v>
      </c>
      <c r="K92" s="7">
        <v>45840</v>
      </c>
      <c r="L92" s="12">
        <f t="shared" si="21"/>
        <v>46570</v>
      </c>
      <c r="M92" s="7">
        <v>45779</v>
      </c>
      <c r="N92" s="12">
        <f t="shared" si="24"/>
        <v>46509</v>
      </c>
      <c r="O92" s="7">
        <v>45754</v>
      </c>
      <c r="P92" s="12">
        <f t="shared" si="32"/>
        <v>46119</v>
      </c>
      <c r="Q92" s="7">
        <v>45474</v>
      </c>
      <c r="R92" s="12">
        <f t="shared" si="33"/>
        <v>45839</v>
      </c>
      <c r="S92" s="7">
        <v>45743</v>
      </c>
      <c r="T92" s="12">
        <f t="shared" si="25"/>
        <v>46473</v>
      </c>
      <c r="U92" s="7">
        <v>45027</v>
      </c>
      <c r="V92" s="12">
        <f t="shared" si="26"/>
        <v>45758</v>
      </c>
      <c r="W92" s="12"/>
      <c r="X92" s="12"/>
      <c r="Y92" s="7"/>
      <c r="Z92" s="12" t="str">
        <f t="shared" si="18"/>
        <v>X</v>
      </c>
      <c r="AA92" s="7"/>
      <c r="AB92" s="12" t="str">
        <f t="shared" si="16"/>
        <v>X</v>
      </c>
      <c r="AC92" s="7"/>
      <c r="AD92" s="12" t="str">
        <f t="shared" si="19"/>
        <v>X</v>
      </c>
      <c r="AE92" s="12"/>
      <c r="AF92" s="16"/>
    </row>
    <row r="93" spans="1:39" s="21" customFormat="1" ht="14.25" customHeight="1" x14ac:dyDescent="0.45">
      <c r="A93" s="20" t="s">
        <v>173</v>
      </c>
      <c r="B93" s="6" t="s">
        <v>18</v>
      </c>
      <c r="C93" s="7"/>
      <c r="D93" s="12" t="str">
        <f t="shared" si="20"/>
        <v>X</v>
      </c>
      <c r="E93" s="7"/>
      <c r="F93" s="12" t="str">
        <f t="shared" si="31"/>
        <v>X</v>
      </c>
      <c r="G93" s="7"/>
      <c r="H93" s="12" t="str">
        <f t="shared" si="22"/>
        <v>X</v>
      </c>
      <c r="I93" s="7"/>
      <c r="J93" s="12" t="str">
        <f t="shared" si="23"/>
        <v>X</v>
      </c>
      <c r="K93" s="7"/>
      <c r="L93" s="12" t="str">
        <f t="shared" si="21"/>
        <v>X</v>
      </c>
      <c r="M93" s="7"/>
      <c r="N93" s="12" t="str">
        <f t="shared" si="24"/>
        <v>X</v>
      </c>
      <c r="O93" s="7"/>
      <c r="P93" s="12" t="str">
        <f t="shared" si="32"/>
        <v>X</v>
      </c>
      <c r="Q93" s="7"/>
      <c r="R93" s="12" t="str">
        <f t="shared" si="33"/>
        <v>X</v>
      </c>
      <c r="S93" s="7"/>
      <c r="T93" s="12" t="str">
        <f t="shared" si="25"/>
        <v>X</v>
      </c>
      <c r="U93" s="7"/>
      <c r="V93" s="12" t="str">
        <f t="shared" si="26"/>
        <v>X</v>
      </c>
      <c r="W93" s="12"/>
      <c r="X93" s="19"/>
      <c r="Y93" s="7"/>
      <c r="Z93" s="12" t="str">
        <f t="shared" si="18"/>
        <v>X</v>
      </c>
      <c r="AA93" s="7"/>
      <c r="AB93" s="12" t="str">
        <f t="shared" si="16"/>
        <v>X</v>
      </c>
      <c r="AC93" s="7"/>
      <c r="AD93" s="12" t="str">
        <f t="shared" si="19"/>
        <v>X</v>
      </c>
      <c r="AE93" s="12"/>
      <c r="AF93" s="12"/>
      <c r="AG93" s="12"/>
      <c r="AH93" s="12"/>
      <c r="AI93" s="12"/>
      <c r="AJ93" s="12"/>
      <c r="AK93" s="12"/>
      <c r="AL93" s="12"/>
      <c r="AM93" s="12"/>
    </row>
    <row r="94" spans="1:39" s="21" customFormat="1" x14ac:dyDescent="0.45">
      <c r="A94" s="5" t="s">
        <v>39</v>
      </c>
      <c r="B94" s="6" t="s">
        <v>40</v>
      </c>
      <c r="C94" s="7"/>
      <c r="D94" s="12" t="str">
        <f t="shared" si="20"/>
        <v>X</v>
      </c>
      <c r="E94" s="7">
        <v>46251</v>
      </c>
      <c r="F94" s="12">
        <f t="shared" si="31"/>
        <v>46982</v>
      </c>
      <c r="G94" s="7">
        <v>46251</v>
      </c>
      <c r="H94" s="12">
        <f t="shared" si="22"/>
        <v>46982</v>
      </c>
      <c r="I94" s="7"/>
      <c r="J94" s="12" t="str">
        <f t="shared" si="23"/>
        <v>X</v>
      </c>
      <c r="K94" s="7">
        <v>46252</v>
      </c>
      <c r="L94" s="12">
        <f t="shared" si="21"/>
        <v>46983</v>
      </c>
      <c r="M94" s="7">
        <v>46251</v>
      </c>
      <c r="N94" s="12">
        <f t="shared" si="24"/>
        <v>46982</v>
      </c>
      <c r="O94" s="7"/>
      <c r="P94" s="12" t="str">
        <f t="shared" si="32"/>
        <v>X</v>
      </c>
      <c r="Q94" s="7"/>
      <c r="R94" s="12" t="str">
        <f t="shared" si="33"/>
        <v>X</v>
      </c>
      <c r="S94" s="7">
        <v>46253</v>
      </c>
      <c r="T94" s="12">
        <f t="shared" si="25"/>
        <v>46984</v>
      </c>
      <c r="U94" s="7"/>
      <c r="V94" s="12" t="str">
        <f t="shared" si="26"/>
        <v>X</v>
      </c>
      <c r="W94" s="12"/>
      <c r="X94" s="19"/>
      <c r="Y94" s="7"/>
      <c r="Z94" s="12" t="str">
        <f t="shared" si="18"/>
        <v>X</v>
      </c>
      <c r="AA94" s="7"/>
      <c r="AB94" s="12" t="str">
        <f t="shared" si="16"/>
        <v>X</v>
      </c>
      <c r="AC94" s="7"/>
      <c r="AD94" s="12" t="str">
        <f t="shared" si="19"/>
        <v>X</v>
      </c>
      <c r="AE94" s="12"/>
      <c r="AF94" s="12"/>
      <c r="AG94" s="12"/>
      <c r="AH94" s="12"/>
      <c r="AI94" s="12"/>
      <c r="AJ94" s="12"/>
      <c r="AK94" s="12"/>
      <c r="AL94" s="12"/>
      <c r="AM94" s="12"/>
    </row>
    <row r="95" spans="1:39" x14ac:dyDescent="0.45">
      <c r="A95" s="9" t="s">
        <v>41</v>
      </c>
      <c r="B95" s="6" t="s">
        <v>30</v>
      </c>
      <c r="C95" s="7"/>
      <c r="D95" s="12" t="str">
        <f t="shared" si="20"/>
        <v>X</v>
      </c>
      <c r="E95" s="7">
        <v>45726</v>
      </c>
      <c r="F95" s="12">
        <f t="shared" si="31"/>
        <v>46456</v>
      </c>
      <c r="G95" s="7">
        <v>45721</v>
      </c>
      <c r="H95" s="12">
        <f t="shared" si="22"/>
        <v>46451</v>
      </c>
      <c r="I95" s="7"/>
      <c r="J95" s="12" t="str">
        <f t="shared" si="23"/>
        <v>X</v>
      </c>
      <c r="K95" s="7">
        <v>45726</v>
      </c>
      <c r="L95" s="12">
        <f t="shared" si="21"/>
        <v>46456</v>
      </c>
      <c r="M95" s="7">
        <v>45722</v>
      </c>
      <c r="N95" s="12">
        <f t="shared" si="24"/>
        <v>46452</v>
      </c>
      <c r="O95" s="7">
        <v>45959</v>
      </c>
      <c r="P95" s="12">
        <f t="shared" si="32"/>
        <v>46324</v>
      </c>
      <c r="Q95" s="7">
        <v>46062</v>
      </c>
      <c r="R95" s="12">
        <f t="shared" si="33"/>
        <v>46427</v>
      </c>
      <c r="S95" s="7">
        <v>45728</v>
      </c>
      <c r="T95" s="12">
        <f t="shared" si="25"/>
        <v>46458</v>
      </c>
      <c r="U95" s="7"/>
      <c r="V95" s="12" t="str">
        <f t="shared" si="26"/>
        <v>X</v>
      </c>
      <c r="W95" s="12"/>
      <c r="X95" s="12"/>
      <c r="Y95" s="7"/>
      <c r="Z95" s="12" t="str">
        <f t="shared" si="18"/>
        <v>X</v>
      </c>
      <c r="AA95" s="7"/>
      <c r="AB95" s="12" t="str">
        <f t="shared" si="16"/>
        <v>X</v>
      </c>
      <c r="AC95" s="7"/>
      <c r="AD95" s="12" t="str">
        <f t="shared" si="19"/>
        <v>X</v>
      </c>
      <c r="AE95" s="12"/>
      <c r="AF95" s="12"/>
      <c r="AG95" s="12"/>
      <c r="AH95" s="12"/>
      <c r="AI95" s="12"/>
      <c r="AJ95" s="12"/>
      <c r="AK95" s="12"/>
      <c r="AL95" s="12"/>
      <c r="AM95" s="12"/>
    </row>
    <row r="96" spans="1:39" s="21" customFormat="1" x14ac:dyDescent="0.45">
      <c r="A96" s="20" t="s">
        <v>42</v>
      </c>
      <c r="B96" s="6" t="s">
        <v>64</v>
      </c>
      <c r="C96" s="7"/>
      <c r="D96" s="12" t="str">
        <f t="shared" si="20"/>
        <v>X</v>
      </c>
      <c r="E96" s="7">
        <v>45751</v>
      </c>
      <c r="F96" s="12">
        <f t="shared" si="31"/>
        <v>46481</v>
      </c>
      <c r="G96" s="7">
        <v>45750</v>
      </c>
      <c r="H96" s="12">
        <f t="shared" si="22"/>
        <v>46480</v>
      </c>
      <c r="I96" s="7"/>
      <c r="J96" s="12" t="str">
        <f t="shared" si="23"/>
        <v>X</v>
      </c>
      <c r="K96" s="7">
        <v>45352</v>
      </c>
      <c r="L96" s="12">
        <f t="shared" si="21"/>
        <v>46082</v>
      </c>
      <c r="M96" s="7">
        <v>45751</v>
      </c>
      <c r="N96" s="12">
        <f t="shared" si="24"/>
        <v>46481</v>
      </c>
      <c r="O96" s="7">
        <v>45365</v>
      </c>
      <c r="P96" s="12">
        <f t="shared" si="32"/>
        <v>45730</v>
      </c>
      <c r="Q96" s="7">
        <v>45374</v>
      </c>
      <c r="R96" s="12">
        <f t="shared" si="33"/>
        <v>45739</v>
      </c>
      <c r="S96" s="7">
        <v>45016</v>
      </c>
      <c r="T96" s="12">
        <f t="shared" si="25"/>
        <v>45747</v>
      </c>
      <c r="U96" s="7"/>
      <c r="V96" s="12" t="str">
        <f t="shared" si="26"/>
        <v>X</v>
      </c>
      <c r="W96" s="12"/>
      <c r="X96" s="19"/>
      <c r="Y96" s="7"/>
      <c r="Z96" s="12" t="str">
        <f t="shared" si="18"/>
        <v>X</v>
      </c>
      <c r="AA96" s="7"/>
      <c r="AB96" s="12" t="str">
        <f t="shared" si="16"/>
        <v>X</v>
      </c>
      <c r="AC96" s="7"/>
      <c r="AD96" s="12" t="str">
        <f t="shared" si="19"/>
        <v>X</v>
      </c>
      <c r="AE96" s="12"/>
      <c r="AF96" s="12"/>
      <c r="AG96" s="12"/>
      <c r="AH96" s="12"/>
      <c r="AI96" s="12"/>
      <c r="AJ96" s="12"/>
      <c r="AK96" s="12"/>
      <c r="AL96" s="12"/>
      <c r="AM96" s="12"/>
    </row>
    <row r="97" spans="1:42" x14ac:dyDescent="0.45">
      <c r="A97" s="5" t="s">
        <v>174</v>
      </c>
      <c r="B97" s="6" t="s">
        <v>191</v>
      </c>
      <c r="C97" s="7"/>
      <c r="D97" s="12" t="str">
        <f t="shared" si="20"/>
        <v>X</v>
      </c>
      <c r="E97" s="7">
        <v>46045</v>
      </c>
      <c r="F97" s="12">
        <f t="shared" si="31"/>
        <v>46775</v>
      </c>
      <c r="G97" s="7">
        <v>46045</v>
      </c>
      <c r="H97" s="12">
        <f t="shared" si="22"/>
        <v>46775</v>
      </c>
      <c r="I97" s="7">
        <v>46055</v>
      </c>
      <c r="J97" s="12">
        <f t="shared" si="23"/>
        <v>46785</v>
      </c>
      <c r="K97" s="7">
        <v>46052</v>
      </c>
      <c r="L97" s="12">
        <f t="shared" si="21"/>
        <v>46782</v>
      </c>
      <c r="M97" s="7">
        <v>46049</v>
      </c>
      <c r="N97" s="12">
        <f t="shared" si="24"/>
        <v>46779</v>
      </c>
      <c r="O97" s="7">
        <v>46050</v>
      </c>
      <c r="P97" s="12">
        <f t="shared" si="32"/>
        <v>46415</v>
      </c>
      <c r="Q97" s="7">
        <v>46062</v>
      </c>
      <c r="R97" s="12">
        <f t="shared" si="33"/>
        <v>46427</v>
      </c>
      <c r="S97" s="7">
        <v>46048</v>
      </c>
      <c r="T97" s="12">
        <f t="shared" si="25"/>
        <v>46778</v>
      </c>
      <c r="U97" s="7"/>
      <c r="V97" s="12" t="str">
        <f t="shared" si="26"/>
        <v>X</v>
      </c>
      <c r="W97" s="12"/>
      <c r="X97" s="12"/>
      <c r="Y97" s="7"/>
      <c r="Z97" s="12" t="str">
        <f t="shared" si="18"/>
        <v>X</v>
      </c>
      <c r="AA97" s="7"/>
      <c r="AB97" s="12" t="str">
        <f t="shared" si="16"/>
        <v>X</v>
      </c>
      <c r="AC97" s="7"/>
      <c r="AD97" s="12" t="str">
        <f t="shared" si="19"/>
        <v>X</v>
      </c>
      <c r="AE97" s="12"/>
      <c r="AF97" s="12"/>
      <c r="AG97" s="12"/>
      <c r="AH97" s="12"/>
      <c r="AI97" s="12"/>
      <c r="AJ97" s="12"/>
      <c r="AK97" s="12"/>
      <c r="AL97" s="12"/>
      <c r="AM97" s="12"/>
    </row>
    <row r="98" spans="1:42" s="21" customFormat="1" x14ac:dyDescent="0.45">
      <c r="A98" s="20" t="s">
        <v>175</v>
      </c>
      <c r="B98" s="6" t="s">
        <v>176</v>
      </c>
      <c r="C98" s="7"/>
      <c r="D98" s="12" t="str">
        <f t="shared" si="20"/>
        <v>X</v>
      </c>
      <c r="E98" s="7"/>
      <c r="F98" s="12" t="str">
        <f t="shared" si="31"/>
        <v>X</v>
      </c>
      <c r="G98" s="7"/>
      <c r="H98" s="12" t="str">
        <f t="shared" si="22"/>
        <v>X</v>
      </c>
      <c r="I98" s="7"/>
      <c r="J98" s="12" t="str">
        <f t="shared" si="23"/>
        <v>X</v>
      </c>
      <c r="K98" s="7"/>
      <c r="L98" s="12" t="str">
        <f t="shared" si="21"/>
        <v>X</v>
      </c>
      <c r="M98" s="7"/>
      <c r="N98" s="12" t="str">
        <f t="shared" si="24"/>
        <v>X</v>
      </c>
      <c r="O98" s="7"/>
      <c r="P98" s="12" t="str">
        <f t="shared" si="32"/>
        <v>X</v>
      </c>
      <c r="Q98" s="7"/>
      <c r="R98" s="12" t="str">
        <f t="shared" si="33"/>
        <v>X</v>
      </c>
      <c r="S98" s="7"/>
      <c r="T98" s="12" t="str">
        <f t="shared" si="25"/>
        <v>X</v>
      </c>
      <c r="U98" s="7"/>
      <c r="V98" s="12" t="str">
        <f t="shared" si="26"/>
        <v>X</v>
      </c>
      <c r="W98" s="12"/>
      <c r="X98" s="19"/>
      <c r="Y98" s="7"/>
      <c r="Z98" s="12" t="str">
        <f t="shared" si="18"/>
        <v>X</v>
      </c>
      <c r="AA98" s="7"/>
      <c r="AB98" s="12" t="str">
        <f t="shared" si="16"/>
        <v>X</v>
      </c>
      <c r="AC98" s="7"/>
      <c r="AD98" s="12" t="str">
        <f t="shared" si="19"/>
        <v>X</v>
      </c>
      <c r="AE98" s="12"/>
      <c r="AF98" s="12"/>
      <c r="AG98" s="12"/>
      <c r="AH98" s="12"/>
      <c r="AI98" s="12"/>
      <c r="AJ98" s="12"/>
      <c r="AK98" s="12"/>
      <c r="AL98" s="12"/>
      <c r="AM98" s="12"/>
    </row>
    <row r="99" spans="1:42" x14ac:dyDescent="0.45">
      <c r="A99" s="9" t="s">
        <v>43</v>
      </c>
      <c r="B99" s="6" t="s">
        <v>7</v>
      </c>
      <c r="C99" s="7"/>
      <c r="D99" s="12" t="str">
        <f t="shared" si="20"/>
        <v>X</v>
      </c>
      <c r="E99" s="7">
        <v>45842</v>
      </c>
      <c r="F99" s="12">
        <f t="shared" si="31"/>
        <v>46572</v>
      </c>
      <c r="G99" s="7">
        <v>45842</v>
      </c>
      <c r="H99" s="12">
        <f t="shared" si="22"/>
        <v>46572</v>
      </c>
      <c r="I99" s="7"/>
      <c r="J99" s="12" t="str">
        <f t="shared" si="23"/>
        <v>X</v>
      </c>
      <c r="K99" s="7">
        <v>45107</v>
      </c>
      <c r="L99" s="12">
        <f t="shared" si="21"/>
        <v>45838</v>
      </c>
      <c r="M99" s="7">
        <v>45841</v>
      </c>
      <c r="N99" s="12">
        <f t="shared" si="24"/>
        <v>46571</v>
      </c>
      <c r="O99" s="7"/>
      <c r="P99" s="12" t="str">
        <f t="shared" si="32"/>
        <v>X</v>
      </c>
      <c r="Q99" s="7">
        <v>46062</v>
      </c>
      <c r="R99" s="12">
        <f t="shared" si="33"/>
        <v>46427</v>
      </c>
      <c r="S99" s="7">
        <v>46057</v>
      </c>
      <c r="T99" s="12">
        <f t="shared" si="25"/>
        <v>46787</v>
      </c>
      <c r="U99" s="7">
        <v>46058</v>
      </c>
      <c r="V99" s="12">
        <f t="shared" si="26"/>
        <v>46788</v>
      </c>
      <c r="W99" s="12"/>
      <c r="X99" s="12"/>
      <c r="Y99" s="7"/>
      <c r="Z99" s="12" t="str">
        <f t="shared" si="18"/>
        <v>X</v>
      </c>
      <c r="AA99" s="7"/>
      <c r="AB99" s="12" t="str">
        <f t="shared" si="16"/>
        <v>X</v>
      </c>
      <c r="AC99" s="7"/>
      <c r="AD99" s="12" t="str">
        <f t="shared" si="19"/>
        <v>X</v>
      </c>
      <c r="AE99" s="12"/>
      <c r="AF99" s="16"/>
    </row>
    <row r="100" spans="1:42" s="21" customFormat="1" x14ac:dyDescent="0.45">
      <c r="A100" s="20" t="s">
        <v>177</v>
      </c>
      <c r="B100" s="6" t="s">
        <v>178</v>
      </c>
      <c r="C100" s="7"/>
      <c r="D100" s="12" t="str">
        <f t="shared" si="20"/>
        <v>X</v>
      </c>
      <c r="E100" s="7"/>
      <c r="F100" s="12" t="str">
        <f t="shared" si="31"/>
        <v>X</v>
      </c>
      <c r="G100" s="7"/>
      <c r="H100" s="12" t="str">
        <f t="shared" si="22"/>
        <v>X</v>
      </c>
      <c r="I100" s="7"/>
      <c r="J100" s="12" t="str">
        <f t="shared" si="23"/>
        <v>X</v>
      </c>
      <c r="K100" s="7"/>
      <c r="L100" s="12" t="str">
        <f t="shared" si="21"/>
        <v>X</v>
      </c>
      <c r="M100" s="7"/>
      <c r="N100" s="12" t="str">
        <f t="shared" si="24"/>
        <v>X</v>
      </c>
      <c r="O100" s="7"/>
      <c r="P100" s="12" t="str">
        <f t="shared" si="32"/>
        <v>X</v>
      </c>
      <c r="Q100" s="7"/>
      <c r="R100" s="12" t="str">
        <f t="shared" si="33"/>
        <v>X</v>
      </c>
      <c r="S100" s="7"/>
      <c r="T100" s="12" t="str">
        <f t="shared" si="25"/>
        <v>X</v>
      </c>
      <c r="U100" s="7"/>
      <c r="V100" s="12" t="str">
        <f t="shared" si="26"/>
        <v>X</v>
      </c>
      <c r="W100" s="12"/>
      <c r="X100" s="19"/>
      <c r="Y100" s="7"/>
      <c r="Z100" s="12" t="str">
        <f t="shared" si="18"/>
        <v>X</v>
      </c>
      <c r="AA100" s="7"/>
      <c r="AB100" s="12" t="str">
        <f t="shared" si="16"/>
        <v>X</v>
      </c>
      <c r="AC100" s="7"/>
      <c r="AD100" s="12" t="str">
        <f t="shared" si="19"/>
        <v>X</v>
      </c>
      <c r="AE100" s="12"/>
      <c r="AF100" s="12"/>
      <c r="AG100" s="12"/>
      <c r="AH100" s="12"/>
      <c r="AI100" s="12"/>
      <c r="AJ100" s="12"/>
      <c r="AK100" s="12"/>
      <c r="AL100" s="12"/>
    </row>
    <row r="101" spans="1:42" x14ac:dyDescent="0.45">
      <c r="A101" s="9" t="s">
        <v>47</v>
      </c>
      <c r="B101" s="6" t="s">
        <v>111</v>
      </c>
      <c r="C101" s="7"/>
      <c r="D101" s="12" t="str">
        <f t="shared" si="20"/>
        <v>X</v>
      </c>
      <c r="E101" s="7">
        <v>46009</v>
      </c>
      <c r="F101" s="12">
        <f t="shared" si="31"/>
        <v>46739</v>
      </c>
      <c r="G101" s="7">
        <v>46164</v>
      </c>
      <c r="H101" s="12">
        <f t="shared" si="22"/>
        <v>46895</v>
      </c>
      <c r="I101" s="7"/>
      <c r="J101" s="12" t="str">
        <f t="shared" si="23"/>
        <v>X</v>
      </c>
      <c r="K101" s="7">
        <v>46165</v>
      </c>
      <c r="L101" s="12">
        <f t="shared" si="21"/>
        <v>46896</v>
      </c>
      <c r="M101" s="7">
        <v>46164</v>
      </c>
      <c r="N101" s="12">
        <f t="shared" si="24"/>
        <v>46895</v>
      </c>
      <c r="O101" s="7">
        <v>46174</v>
      </c>
      <c r="P101" s="12">
        <f t="shared" si="32"/>
        <v>46539</v>
      </c>
      <c r="Q101" s="7">
        <v>46170</v>
      </c>
      <c r="R101" s="12">
        <f t="shared" si="33"/>
        <v>46535</v>
      </c>
      <c r="S101" s="7">
        <v>46167</v>
      </c>
      <c r="T101" s="12">
        <f t="shared" si="25"/>
        <v>46898</v>
      </c>
      <c r="U101" s="7"/>
      <c r="V101" s="12" t="str">
        <f t="shared" si="26"/>
        <v>X</v>
      </c>
      <c r="W101" s="12"/>
      <c r="X101" s="12"/>
      <c r="Y101" s="7"/>
      <c r="Z101" s="12" t="str">
        <f t="shared" si="18"/>
        <v>X</v>
      </c>
      <c r="AA101" s="7">
        <v>46029</v>
      </c>
      <c r="AB101" s="12">
        <f t="shared" si="16"/>
        <v>46759</v>
      </c>
      <c r="AC101" s="7"/>
      <c r="AD101" s="12" t="str">
        <f t="shared" si="19"/>
        <v>X</v>
      </c>
      <c r="AE101" s="12"/>
      <c r="AF101" s="12">
        <v>46127</v>
      </c>
    </row>
    <row r="102" spans="1:42" x14ac:dyDescent="0.45">
      <c r="A102" s="9" t="s">
        <v>195</v>
      </c>
      <c r="B102" s="6" t="s">
        <v>212</v>
      </c>
      <c r="C102" s="7"/>
      <c r="D102" s="12" t="str">
        <f t="shared" si="20"/>
        <v>X</v>
      </c>
      <c r="E102" s="7">
        <v>46045</v>
      </c>
      <c r="F102" s="12">
        <f t="shared" si="31"/>
        <v>46775</v>
      </c>
      <c r="G102" s="7">
        <v>46055</v>
      </c>
      <c r="H102" s="12">
        <f t="shared" si="22"/>
        <v>46785</v>
      </c>
      <c r="I102" s="7"/>
      <c r="J102" s="12"/>
      <c r="K102" s="7">
        <v>46057</v>
      </c>
      <c r="L102" s="12">
        <f t="shared" si="21"/>
        <v>46787</v>
      </c>
      <c r="M102" s="7">
        <v>46056</v>
      </c>
      <c r="N102" s="12">
        <f t="shared" si="24"/>
        <v>46786</v>
      </c>
      <c r="O102" s="7">
        <v>46058</v>
      </c>
      <c r="P102" s="12">
        <f t="shared" si="32"/>
        <v>46423</v>
      </c>
      <c r="Q102" s="7">
        <v>46062</v>
      </c>
      <c r="R102" s="12"/>
      <c r="S102" s="7"/>
      <c r="T102" s="12"/>
      <c r="U102" s="7"/>
      <c r="V102" s="12"/>
      <c r="W102" s="12"/>
      <c r="X102" s="12"/>
      <c r="Y102" s="7"/>
      <c r="Z102" s="12"/>
      <c r="AA102" s="7"/>
      <c r="AB102" s="12"/>
      <c r="AC102" s="7"/>
      <c r="AD102" s="12"/>
      <c r="AE102" s="12"/>
      <c r="AF102" s="12"/>
    </row>
    <row r="103" spans="1:42" x14ac:dyDescent="0.45">
      <c r="A103" s="9" t="s">
        <v>46</v>
      </c>
      <c r="B103" s="6" t="s">
        <v>6</v>
      </c>
      <c r="C103" s="7"/>
      <c r="D103" s="12" t="str">
        <f t="shared" si="20"/>
        <v>X</v>
      </c>
      <c r="E103" s="7">
        <v>45723</v>
      </c>
      <c r="F103" s="12">
        <f t="shared" si="31"/>
        <v>46453</v>
      </c>
      <c r="G103" s="7">
        <v>45723</v>
      </c>
      <c r="H103" s="12">
        <f t="shared" si="22"/>
        <v>46453</v>
      </c>
      <c r="I103" s="7"/>
      <c r="J103" s="12" t="str">
        <f t="shared" si="23"/>
        <v>X</v>
      </c>
      <c r="K103" s="7">
        <v>45726</v>
      </c>
      <c r="L103" s="12">
        <f t="shared" si="21"/>
        <v>46456</v>
      </c>
      <c r="M103" s="7">
        <v>45656</v>
      </c>
      <c r="N103" s="12">
        <f t="shared" si="24"/>
        <v>46386</v>
      </c>
      <c r="O103" s="7">
        <v>46072</v>
      </c>
      <c r="P103" s="12">
        <f t="shared" si="32"/>
        <v>46437</v>
      </c>
      <c r="Q103" s="7">
        <v>46076</v>
      </c>
      <c r="R103" s="12">
        <f t="shared" si="33"/>
        <v>46441</v>
      </c>
      <c r="S103" s="7">
        <v>45743</v>
      </c>
      <c r="T103" s="12">
        <f t="shared" si="25"/>
        <v>46473</v>
      </c>
      <c r="U103" s="7"/>
      <c r="V103" s="12" t="str">
        <f t="shared" si="26"/>
        <v>X</v>
      </c>
      <c r="W103" s="12"/>
      <c r="X103" s="12"/>
      <c r="Y103" s="7"/>
      <c r="Z103" s="12" t="str">
        <f t="shared" si="18"/>
        <v>X</v>
      </c>
      <c r="AA103" s="7">
        <v>46083</v>
      </c>
      <c r="AB103" s="12">
        <f t="shared" si="16"/>
        <v>46814</v>
      </c>
      <c r="AC103" s="7"/>
      <c r="AD103" s="12" t="str">
        <f t="shared" si="19"/>
        <v>X</v>
      </c>
      <c r="AE103" s="12"/>
      <c r="AF103" s="12">
        <v>45834</v>
      </c>
    </row>
    <row r="104" spans="1:42" s="21" customFormat="1" x14ac:dyDescent="0.45">
      <c r="A104" s="20" t="s">
        <v>179</v>
      </c>
      <c r="B104" s="6" t="s">
        <v>180</v>
      </c>
      <c r="C104" s="7"/>
      <c r="D104" s="12" t="str">
        <f t="shared" si="20"/>
        <v>X</v>
      </c>
      <c r="E104" s="7"/>
      <c r="F104" s="12" t="str">
        <f t="shared" si="31"/>
        <v>X</v>
      </c>
      <c r="G104" s="7"/>
      <c r="H104" s="12" t="str">
        <f t="shared" si="22"/>
        <v>X</v>
      </c>
      <c r="I104" s="7"/>
      <c r="J104" s="12" t="str">
        <f t="shared" si="23"/>
        <v>X</v>
      </c>
      <c r="K104" s="7"/>
      <c r="L104" s="12" t="str">
        <f t="shared" si="21"/>
        <v>X</v>
      </c>
      <c r="M104" s="7"/>
      <c r="N104" s="12" t="str">
        <f t="shared" si="24"/>
        <v>X</v>
      </c>
      <c r="O104" s="7"/>
      <c r="P104" s="12" t="str">
        <f t="shared" si="32"/>
        <v>X</v>
      </c>
      <c r="Q104" s="7"/>
      <c r="R104" s="12" t="str">
        <f t="shared" si="33"/>
        <v>X</v>
      </c>
      <c r="S104" s="7"/>
      <c r="T104" s="12" t="str">
        <f t="shared" si="25"/>
        <v>X</v>
      </c>
      <c r="U104" s="7"/>
      <c r="V104" s="12" t="str">
        <f t="shared" si="26"/>
        <v>X</v>
      </c>
      <c r="W104" s="12"/>
      <c r="X104" s="19"/>
      <c r="Y104" s="7"/>
      <c r="Z104" s="12" t="str">
        <f t="shared" si="18"/>
        <v>X</v>
      </c>
      <c r="AA104" s="7"/>
      <c r="AB104" s="12" t="str">
        <f t="shared" si="16"/>
        <v>X</v>
      </c>
      <c r="AC104" s="7"/>
      <c r="AD104" s="12" t="str">
        <f t="shared" si="19"/>
        <v>X</v>
      </c>
      <c r="AE104" s="12"/>
      <c r="AF104" s="12"/>
      <c r="AG104" s="12"/>
      <c r="AH104" s="12"/>
      <c r="AI104" s="12"/>
      <c r="AJ104" s="12"/>
      <c r="AK104" s="12"/>
      <c r="AL104" s="12"/>
      <c r="AM104" s="12"/>
    </row>
    <row r="105" spans="1:42" x14ac:dyDescent="0.45">
      <c r="A105" s="9" t="s">
        <v>50</v>
      </c>
      <c r="B105" s="6" t="s">
        <v>220</v>
      </c>
      <c r="C105" s="7"/>
      <c r="D105" s="12" t="str">
        <f t="shared" si="20"/>
        <v>X</v>
      </c>
      <c r="E105" s="7">
        <v>46244</v>
      </c>
      <c r="F105" s="12">
        <f t="shared" si="31"/>
        <v>46975</v>
      </c>
      <c r="G105" s="7">
        <v>46086</v>
      </c>
      <c r="H105" s="12">
        <f t="shared" si="22"/>
        <v>46817</v>
      </c>
      <c r="I105" s="7"/>
      <c r="J105" s="12" t="str">
        <f t="shared" si="23"/>
        <v>X</v>
      </c>
      <c r="K105" s="7">
        <v>45868</v>
      </c>
      <c r="L105" s="12">
        <f t="shared" si="21"/>
        <v>46598</v>
      </c>
      <c r="M105" s="7">
        <v>46085</v>
      </c>
      <c r="N105" s="12">
        <f t="shared" si="24"/>
        <v>46816</v>
      </c>
      <c r="O105" s="7">
        <v>46113</v>
      </c>
      <c r="P105" s="12">
        <f t="shared" si="32"/>
        <v>46478</v>
      </c>
      <c r="Q105" s="7">
        <v>46092</v>
      </c>
      <c r="R105" s="12">
        <f t="shared" si="33"/>
        <v>46457</v>
      </c>
      <c r="S105" s="7">
        <v>46087</v>
      </c>
      <c r="T105" s="12">
        <f t="shared" si="25"/>
        <v>46818</v>
      </c>
      <c r="U105" s="7"/>
      <c r="V105" s="12" t="str">
        <f t="shared" si="26"/>
        <v>X</v>
      </c>
      <c r="W105" s="12"/>
      <c r="X105" s="12"/>
      <c r="Y105" s="7"/>
      <c r="Z105" s="12" t="str">
        <f t="shared" si="18"/>
        <v>X</v>
      </c>
      <c r="AA105" s="7"/>
      <c r="AB105" s="12" t="str">
        <f t="shared" si="16"/>
        <v>X</v>
      </c>
      <c r="AC105" s="7"/>
      <c r="AD105" s="12" t="str">
        <f t="shared" si="19"/>
        <v>X</v>
      </c>
      <c r="AE105" s="12"/>
      <c r="AF105" s="16"/>
    </row>
    <row r="106" spans="1:42" x14ac:dyDescent="0.45">
      <c r="A106" s="9" t="s">
        <v>221</v>
      </c>
      <c r="B106" s="6" t="s">
        <v>222</v>
      </c>
      <c r="C106" s="7"/>
      <c r="D106" s="12" t="str">
        <f t="shared" si="20"/>
        <v>X</v>
      </c>
      <c r="E106" s="7">
        <v>46241</v>
      </c>
      <c r="F106" s="12">
        <f t="shared" si="31"/>
        <v>46972</v>
      </c>
      <c r="G106" s="7">
        <v>46242</v>
      </c>
      <c r="H106" s="12">
        <f t="shared" si="22"/>
        <v>46973</v>
      </c>
      <c r="I106" s="7"/>
      <c r="J106" s="12"/>
      <c r="K106" s="7"/>
      <c r="L106" s="12"/>
      <c r="M106" s="7">
        <v>46242</v>
      </c>
      <c r="N106" s="12">
        <f t="shared" si="24"/>
        <v>46973</v>
      </c>
      <c r="O106" s="7"/>
      <c r="P106" s="12"/>
      <c r="Q106" s="7"/>
      <c r="R106" s="12"/>
      <c r="S106" s="7">
        <v>46241</v>
      </c>
      <c r="T106" s="12">
        <f t="shared" si="25"/>
        <v>46972</v>
      </c>
      <c r="U106" s="7"/>
      <c r="V106" s="12"/>
      <c r="W106" s="12"/>
      <c r="X106" s="12"/>
      <c r="Y106" s="7">
        <v>46251</v>
      </c>
      <c r="Z106" s="12">
        <f t="shared" si="18"/>
        <v>46982</v>
      </c>
      <c r="AA106" s="7"/>
      <c r="AB106" s="12"/>
      <c r="AC106" s="7">
        <v>46248</v>
      </c>
      <c r="AD106" s="12">
        <f t="shared" si="19"/>
        <v>46979</v>
      </c>
      <c r="AE106" s="12"/>
      <c r="AF106" s="16"/>
    </row>
    <row r="107" spans="1:42" x14ac:dyDescent="0.45">
      <c r="A107" s="9" t="s">
        <v>51</v>
      </c>
      <c r="B107" s="6" t="s">
        <v>37</v>
      </c>
      <c r="C107" s="7"/>
      <c r="D107" s="12" t="str">
        <f t="shared" si="20"/>
        <v>X</v>
      </c>
      <c r="E107" s="7">
        <v>45749</v>
      </c>
      <c r="F107" s="12">
        <f t="shared" si="31"/>
        <v>46479</v>
      </c>
      <c r="G107" s="7">
        <v>45742</v>
      </c>
      <c r="H107" s="12">
        <f t="shared" si="22"/>
        <v>46472</v>
      </c>
      <c r="I107" s="7"/>
      <c r="J107" s="12" t="str">
        <f t="shared" si="23"/>
        <v>X</v>
      </c>
      <c r="K107" s="7">
        <v>45799</v>
      </c>
      <c r="L107" s="12">
        <f t="shared" si="21"/>
        <v>46529</v>
      </c>
      <c r="M107" s="7">
        <v>45656</v>
      </c>
      <c r="N107" s="12">
        <f t="shared" si="24"/>
        <v>46386</v>
      </c>
      <c r="O107" s="7">
        <v>46160</v>
      </c>
      <c r="P107" s="12">
        <f t="shared" si="32"/>
        <v>46525</v>
      </c>
      <c r="Q107" s="7">
        <v>46079</v>
      </c>
      <c r="R107" s="12">
        <f t="shared" si="33"/>
        <v>46444</v>
      </c>
      <c r="S107" s="7">
        <v>45748</v>
      </c>
      <c r="T107" s="12">
        <f t="shared" si="25"/>
        <v>46478</v>
      </c>
      <c r="U107" s="7">
        <v>45749</v>
      </c>
      <c r="V107" s="12">
        <f t="shared" si="26"/>
        <v>46479</v>
      </c>
      <c r="W107" s="12"/>
      <c r="X107" s="12"/>
      <c r="Y107" s="7"/>
      <c r="Z107" s="12" t="str">
        <f t="shared" si="18"/>
        <v>X</v>
      </c>
      <c r="AA107" s="7">
        <v>45411</v>
      </c>
      <c r="AB107" s="12">
        <f t="shared" si="16"/>
        <v>46141</v>
      </c>
      <c r="AC107" s="7"/>
      <c r="AD107" s="12" t="str">
        <f t="shared" si="19"/>
        <v>X</v>
      </c>
      <c r="AE107" s="12"/>
      <c r="AF107" s="12">
        <v>45834</v>
      </c>
    </row>
    <row r="108" spans="1:42" s="21" customFormat="1" x14ac:dyDescent="0.45">
      <c r="A108" s="20" t="s">
        <v>181</v>
      </c>
      <c r="B108" s="6" t="s">
        <v>176</v>
      </c>
      <c r="C108" s="7"/>
      <c r="D108" s="12" t="str">
        <f t="shared" si="20"/>
        <v>X</v>
      </c>
      <c r="E108" s="7"/>
      <c r="F108" s="12" t="str">
        <f t="shared" si="31"/>
        <v>X</v>
      </c>
      <c r="G108" s="7"/>
      <c r="H108" s="12" t="str">
        <f t="shared" si="22"/>
        <v>X</v>
      </c>
      <c r="I108" s="7"/>
      <c r="J108" s="12" t="str">
        <f t="shared" si="23"/>
        <v>X</v>
      </c>
      <c r="K108" s="7"/>
      <c r="L108" s="12" t="str">
        <f t="shared" si="21"/>
        <v>X</v>
      </c>
      <c r="M108" s="7"/>
      <c r="N108" s="12" t="str">
        <f t="shared" si="24"/>
        <v>X</v>
      </c>
      <c r="O108" s="7"/>
      <c r="P108" s="12" t="str">
        <f t="shared" si="32"/>
        <v>X</v>
      </c>
      <c r="Q108" s="7"/>
      <c r="R108" s="12" t="str">
        <f t="shared" si="33"/>
        <v>X</v>
      </c>
      <c r="S108" s="7"/>
      <c r="T108" s="12" t="str">
        <f t="shared" si="25"/>
        <v>X</v>
      </c>
      <c r="U108" s="7"/>
      <c r="V108" s="12" t="str">
        <f t="shared" si="26"/>
        <v>X</v>
      </c>
      <c r="W108" s="12"/>
      <c r="X108" s="19"/>
      <c r="Y108" s="7"/>
      <c r="Z108" s="12" t="str">
        <f t="shared" ref="Z108:Z120" si="34">IF(YEAR(Y108) &lt;= 1990, "X", DATE(YEAR(Y108)+2, MONTH(Y108), DAY(Y108)))</f>
        <v>X</v>
      </c>
      <c r="AA108" s="7"/>
      <c r="AB108" s="12" t="str">
        <f t="shared" ref="AB108:AB120" si="35">IF(YEAR(AA108) &lt;= 1990, "X", DATE(YEAR(AA108)+2, MONTH(AA108), DAY(AA108)))</f>
        <v>X</v>
      </c>
      <c r="AC108" s="7"/>
      <c r="AD108" s="12" t="str">
        <f t="shared" ref="AD108:AD120" si="36">IF(YEAR(AC108) &lt;= 1990, "X", DATE(YEAR(AC108)+2, MONTH(AC108), DAY(AC108)))</f>
        <v>X</v>
      </c>
      <c r="AE108" s="12"/>
      <c r="AF108" s="12"/>
      <c r="AG108" s="12"/>
      <c r="AH108" s="12"/>
      <c r="AI108" s="12"/>
      <c r="AJ108" s="12"/>
      <c r="AK108" s="12"/>
      <c r="AL108" s="12"/>
    </row>
    <row r="109" spans="1:42" x14ac:dyDescent="0.45">
      <c r="A109" s="9" t="s">
        <v>200</v>
      </c>
      <c r="B109" s="6" t="s">
        <v>205</v>
      </c>
      <c r="C109" s="7"/>
      <c r="D109" s="12" t="str">
        <f t="shared" si="20"/>
        <v>X</v>
      </c>
      <c r="E109" s="7">
        <v>46055</v>
      </c>
      <c r="F109" s="12">
        <f t="shared" si="31"/>
        <v>46785</v>
      </c>
      <c r="G109" s="7"/>
      <c r="H109" s="12"/>
      <c r="I109" s="7"/>
      <c r="J109" s="12"/>
      <c r="K109" s="7"/>
      <c r="L109" s="12"/>
      <c r="M109" s="7">
        <v>46149</v>
      </c>
      <c r="N109" s="12">
        <f t="shared" si="24"/>
        <v>46880</v>
      </c>
      <c r="O109" s="7"/>
      <c r="P109" s="12"/>
      <c r="Q109" s="7"/>
      <c r="R109" s="12"/>
      <c r="S109" s="7">
        <v>46150</v>
      </c>
      <c r="T109" s="12">
        <f t="shared" si="25"/>
        <v>46881</v>
      </c>
      <c r="U109" s="7"/>
      <c r="V109" s="12"/>
      <c r="W109" s="12"/>
      <c r="X109" s="12"/>
      <c r="Y109" s="7"/>
      <c r="Z109" s="12"/>
      <c r="AA109" s="7"/>
      <c r="AB109" s="12"/>
      <c r="AC109" s="7"/>
      <c r="AD109" s="12"/>
      <c r="AE109" s="12">
        <v>46119</v>
      </c>
      <c r="AF109" s="16"/>
      <c r="AG109" s="16"/>
      <c r="AH109" s="16"/>
      <c r="AI109" s="16"/>
      <c r="AJ109" s="16"/>
      <c r="AK109" s="16"/>
      <c r="AL109" s="16"/>
      <c r="AM109" s="16"/>
      <c r="AN109" s="16"/>
      <c r="AO109" s="16"/>
      <c r="AP109" s="16"/>
    </row>
    <row r="110" spans="1:42" x14ac:dyDescent="0.45">
      <c r="A110" s="9" t="s">
        <v>101</v>
      </c>
      <c r="B110" s="6" t="s">
        <v>102</v>
      </c>
      <c r="C110" s="7"/>
      <c r="D110" s="12" t="str">
        <f t="shared" si="20"/>
        <v>X</v>
      </c>
      <c r="E110" s="7">
        <v>45887</v>
      </c>
      <c r="F110" s="12">
        <f t="shared" si="31"/>
        <v>46617</v>
      </c>
      <c r="G110" s="7">
        <v>45891</v>
      </c>
      <c r="H110" s="12">
        <f t="shared" si="22"/>
        <v>46621</v>
      </c>
      <c r="I110" s="7"/>
      <c r="J110" s="12" t="str">
        <f t="shared" si="23"/>
        <v>X</v>
      </c>
      <c r="K110" s="7">
        <v>45890</v>
      </c>
      <c r="L110" s="12">
        <f t="shared" si="21"/>
        <v>46620</v>
      </c>
      <c r="M110" s="7">
        <v>45894</v>
      </c>
      <c r="N110" s="12">
        <f t="shared" si="24"/>
        <v>46624</v>
      </c>
      <c r="O110" s="7">
        <v>45974</v>
      </c>
      <c r="P110" s="12">
        <f t="shared" si="32"/>
        <v>46339</v>
      </c>
      <c r="Q110" s="7">
        <v>45895</v>
      </c>
      <c r="R110" s="12">
        <f t="shared" si="33"/>
        <v>46260</v>
      </c>
      <c r="S110" s="7">
        <v>45887</v>
      </c>
      <c r="T110" s="12">
        <f t="shared" si="25"/>
        <v>46617</v>
      </c>
      <c r="U110" s="7"/>
      <c r="V110" s="12" t="str">
        <f t="shared" si="26"/>
        <v>X</v>
      </c>
      <c r="W110" s="12"/>
      <c r="X110" s="12"/>
      <c r="Y110" s="7"/>
      <c r="Z110" s="12" t="str">
        <f t="shared" si="34"/>
        <v>X</v>
      </c>
      <c r="AA110" s="7"/>
      <c r="AB110" s="12" t="str">
        <f t="shared" si="35"/>
        <v>X</v>
      </c>
      <c r="AC110" s="7"/>
      <c r="AD110" s="12" t="str">
        <f t="shared" si="36"/>
        <v>X</v>
      </c>
      <c r="AE110" s="12"/>
      <c r="AF110" s="16"/>
      <c r="AG110" s="16"/>
      <c r="AH110" s="16"/>
      <c r="AI110" s="16"/>
      <c r="AJ110" s="16"/>
      <c r="AK110" s="16"/>
      <c r="AL110" s="16"/>
      <c r="AM110" s="16"/>
      <c r="AN110" s="16"/>
      <c r="AO110" s="16"/>
      <c r="AP110" s="16"/>
    </row>
    <row r="111" spans="1:42" s="21" customFormat="1" x14ac:dyDescent="0.45">
      <c r="A111" s="20" t="s">
        <v>54</v>
      </c>
      <c r="B111" s="6" t="s">
        <v>65</v>
      </c>
      <c r="C111" s="7"/>
      <c r="D111" s="12" t="str">
        <f t="shared" si="20"/>
        <v>X</v>
      </c>
      <c r="E111" s="7">
        <v>45694</v>
      </c>
      <c r="F111" s="12">
        <f t="shared" si="31"/>
        <v>46424</v>
      </c>
      <c r="G111" s="7">
        <v>45695</v>
      </c>
      <c r="H111" s="12">
        <f t="shared" si="22"/>
        <v>46425</v>
      </c>
      <c r="I111" s="7"/>
      <c r="J111" s="12" t="str">
        <f t="shared" si="23"/>
        <v>X</v>
      </c>
      <c r="K111" s="7"/>
      <c r="L111" s="12" t="str">
        <f t="shared" si="21"/>
        <v>X</v>
      </c>
      <c r="M111" s="7">
        <v>45698</v>
      </c>
      <c r="N111" s="12">
        <f t="shared" si="24"/>
        <v>46428</v>
      </c>
      <c r="O111" s="7"/>
      <c r="P111" s="12" t="str">
        <f t="shared" si="32"/>
        <v>X</v>
      </c>
      <c r="Q111" s="7"/>
      <c r="R111" s="12" t="str">
        <f t="shared" si="33"/>
        <v>X</v>
      </c>
      <c r="S111" s="7"/>
      <c r="T111" s="12" t="str">
        <f t="shared" si="25"/>
        <v>X</v>
      </c>
      <c r="U111" s="7"/>
      <c r="V111" s="12" t="str">
        <f t="shared" si="26"/>
        <v>X</v>
      </c>
      <c r="W111" s="12"/>
      <c r="X111" s="19"/>
      <c r="Y111" s="7"/>
      <c r="Z111" s="12" t="str">
        <f t="shared" si="34"/>
        <v>X</v>
      </c>
      <c r="AA111" s="7"/>
      <c r="AB111" s="12" t="str">
        <f t="shared" si="35"/>
        <v>X</v>
      </c>
      <c r="AC111" s="7"/>
      <c r="AD111" s="12" t="str">
        <f t="shared" si="36"/>
        <v>X</v>
      </c>
      <c r="AE111" s="12">
        <v>46119</v>
      </c>
      <c r="AF111" s="16"/>
      <c r="AG111" s="16"/>
      <c r="AH111" s="16"/>
      <c r="AI111" s="16"/>
      <c r="AJ111" s="16"/>
      <c r="AK111" s="16"/>
      <c r="AL111" s="16"/>
      <c r="AM111" s="16"/>
      <c r="AN111" s="16"/>
      <c r="AO111" s="16"/>
      <c r="AP111" s="16"/>
    </row>
    <row r="112" spans="1:42" s="21" customFormat="1" x14ac:dyDescent="0.45">
      <c r="A112" s="20" t="s">
        <v>52</v>
      </c>
      <c r="B112" s="6" t="s">
        <v>37</v>
      </c>
      <c r="C112" s="7"/>
      <c r="D112" s="12" t="str">
        <f t="shared" si="20"/>
        <v>X</v>
      </c>
      <c r="E112" s="7">
        <v>45049</v>
      </c>
      <c r="F112" s="12">
        <f t="shared" si="31"/>
        <v>45780</v>
      </c>
      <c r="G112" s="7">
        <v>45020</v>
      </c>
      <c r="H112" s="12">
        <f t="shared" si="22"/>
        <v>45751</v>
      </c>
      <c r="I112" s="7"/>
      <c r="J112" s="12" t="str">
        <f t="shared" si="23"/>
        <v>X</v>
      </c>
      <c r="K112" s="7"/>
      <c r="L112" s="12" t="str">
        <f t="shared" si="21"/>
        <v>X</v>
      </c>
      <c r="M112" s="7">
        <v>45049</v>
      </c>
      <c r="N112" s="12">
        <f t="shared" si="24"/>
        <v>45780</v>
      </c>
      <c r="O112" s="7"/>
      <c r="P112" s="12" t="str">
        <f t="shared" si="32"/>
        <v>X</v>
      </c>
      <c r="Q112" s="7"/>
      <c r="R112" s="12" t="str">
        <f t="shared" si="33"/>
        <v>X</v>
      </c>
      <c r="S112" s="7"/>
      <c r="T112" s="12" t="str">
        <f t="shared" si="25"/>
        <v>X</v>
      </c>
      <c r="U112" s="7"/>
      <c r="V112" s="12" t="str">
        <f t="shared" si="26"/>
        <v>X</v>
      </c>
      <c r="W112" s="12"/>
      <c r="X112" s="19"/>
      <c r="Y112" s="7"/>
      <c r="Z112" s="12" t="str">
        <f t="shared" si="34"/>
        <v>X</v>
      </c>
      <c r="AA112" s="7"/>
      <c r="AB112" s="12" t="str">
        <f t="shared" si="35"/>
        <v>X</v>
      </c>
      <c r="AC112" s="7"/>
      <c r="AD112" s="12" t="str">
        <f t="shared" si="36"/>
        <v>X</v>
      </c>
      <c r="AE112" s="16"/>
      <c r="AF112" s="16"/>
      <c r="AG112" s="16"/>
      <c r="AH112" s="16"/>
      <c r="AI112" s="16"/>
      <c r="AJ112" s="16"/>
      <c r="AK112" s="16"/>
      <c r="AL112" s="16"/>
      <c r="AM112" s="16"/>
      <c r="AN112" s="16"/>
      <c r="AO112" s="16"/>
      <c r="AP112" s="16"/>
    </row>
    <row r="113" spans="1:42" s="21" customFormat="1" x14ac:dyDescent="0.45">
      <c r="A113" s="9" t="s">
        <v>182</v>
      </c>
      <c r="B113" s="6" t="s">
        <v>183</v>
      </c>
      <c r="C113" s="7"/>
      <c r="D113" s="12" t="str">
        <f t="shared" si="20"/>
        <v>X</v>
      </c>
      <c r="E113" s="7">
        <v>46028</v>
      </c>
      <c r="F113" s="12">
        <f t="shared" si="31"/>
        <v>46758</v>
      </c>
      <c r="G113" s="7">
        <v>46028</v>
      </c>
      <c r="H113" s="12">
        <f t="shared" si="22"/>
        <v>46758</v>
      </c>
      <c r="I113" s="7"/>
      <c r="J113" s="12" t="str">
        <f t="shared" si="23"/>
        <v>X</v>
      </c>
      <c r="K113" s="7">
        <v>46112</v>
      </c>
      <c r="L113" s="12">
        <f t="shared" si="21"/>
        <v>46843</v>
      </c>
      <c r="M113" s="7">
        <v>46029</v>
      </c>
      <c r="N113" s="12">
        <f t="shared" si="24"/>
        <v>46759</v>
      </c>
      <c r="O113" s="7">
        <v>46113</v>
      </c>
      <c r="P113" s="12">
        <f t="shared" si="32"/>
        <v>46478</v>
      </c>
      <c r="Q113" s="7">
        <v>46106</v>
      </c>
      <c r="R113" s="12">
        <f t="shared" si="33"/>
        <v>46471</v>
      </c>
      <c r="S113" s="7">
        <v>46111</v>
      </c>
      <c r="T113" s="12">
        <f t="shared" si="25"/>
        <v>46842</v>
      </c>
      <c r="U113" s="7"/>
      <c r="V113" s="12" t="str">
        <f t="shared" si="26"/>
        <v>X</v>
      </c>
      <c r="W113" s="12"/>
      <c r="X113" s="19"/>
      <c r="Y113" s="7"/>
      <c r="Z113" s="12" t="str">
        <f t="shared" si="34"/>
        <v>X</v>
      </c>
      <c r="AA113" s="7"/>
      <c r="AB113" s="12" t="str">
        <f t="shared" si="35"/>
        <v>X</v>
      </c>
      <c r="AC113" s="7"/>
      <c r="AD113" s="12" t="str">
        <f t="shared" si="36"/>
        <v>X</v>
      </c>
      <c r="AE113" s="16"/>
      <c r="AF113" s="16"/>
      <c r="AG113" s="16"/>
      <c r="AH113" s="16"/>
      <c r="AI113" s="16"/>
      <c r="AJ113" s="16"/>
      <c r="AK113" s="16"/>
      <c r="AL113" s="16"/>
      <c r="AM113" s="16"/>
      <c r="AN113" s="16"/>
      <c r="AO113" s="16"/>
      <c r="AP113" s="16"/>
    </row>
    <row r="114" spans="1:42" x14ac:dyDescent="0.45">
      <c r="A114" s="9" t="s">
        <v>53</v>
      </c>
      <c r="B114" s="6" t="s">
        <v>114</v>
      </c>
      <c r="C114" s="7"/>
      <c r="D114" s="12" t="str">
        <f t="shared" si="20"/>
        <v>X</v>
      </c>
      <c r="E114" s="7">
        <v>45796</v>
      </c>
      <c r="F114" s="12">
        <f t="shared" si="31"/>
        <v>46526</v>
      </c>
      <c r="G114" s="7">
        <v>45721</v>
      </c>
      <c r="H114" s="12">
        <f t="shared" si="22"/>
        <v>46451</v>
      </c>
      <c r="I114" s="7"/>
      <c r="J114" s="12" t="str">
        <f t="shared" si="23"/>
        <v>X</v>
      </c>
      <c r="K114" s="7">
        <v>45730</v>
      </c>
      <c r="L114" s="12">
        <f t="shared" si="21"/>
        <v>46460</v>
      </c>
      <c r="M114" s="7">
        <v>45722</v>
      </c>
      <c r="N114" s="12">
        <f t="shared" si="24"/>
        <v>46452</v>
      </c>
      <c r="O114" s="7">
        <v>46038</v>
      </c>
      <c r="P114" s="12">
        <f t="shared" si="32"/>
        <v>46403</v>
      </c>
      <c r="Q114" s="7">
        <v>46031</v>
      </c>
      <c r="R114" s="12">
        <f t="shared" si="33"/>
        <v>46396</v>
      </c>
      <c r="S114" s="7">
        <v>45701</v>
      </c>
      <c r="T114" s="12">
        <f t="shared" si="25"/>
        <v>46431</v>
      </c>
      <c r="U114" s="7"/>
      <c r="V114" s="12" t="str">
        <f t="shared" si="26"/>
        <v>X</v>
      </c>
      <c r="W114" s="12"/>
      <c r="X114" s="12"/>
      <c r="Y114" s="7"/>
      <c r="Z114" s="12" t="str">
        <f t="shared" si="34"/>
        <v>X</v>
      </c>
      <c r="AA114" s="7"/>
      <c r="AB114" s="12" t="str">
        <f t="shared" si="35"/>
        <v>X</v>
      </c>
      <c r="AC114" s="7"/>
      <c r="AD114" s="12" t="str">
        <f t="shared" si="36"/>
        <v>X</v>
      </c>
      <c r="AE114" s="12"/>
      <c r="AF114" s="12">
        <v>45834</v>
      </c>
    </row>
    <row r="115" spans="1:42" x14ac:dyDescent="0.45">
      <c r="A115" s="9" t="s">
        <v>57</v>
      </c>
      <c r="B115" s="6" t="s">
        <v>66</v>
      </c>
      <c r="C115" s="7"/>
      <c r="D115" s="12" t="str">
        <f t="shared" si="20"/>
        <v>X</v>
      </c>
      <c r="E115" s="7">
        <v>45870</v>
      </c>
      <c r="F115" s="12">
        <f t="shared" si="31"/>
        <v>46600</v>
      </c>
      <c r="G115" s="7">
        <v>45868</v>
      </c>
      <c r="H115" s="12">
        <f t="shared" si="22"/>
        <v>46598</v>
      </c>
      <c r="I115" s="7"/>
      <c r="J115" s="12" t="str">
        <f t="shared" si="23"/>
        <v>X</v>
      </c>
      <c r="K115" s="7"/>
      <c r="L115" s="12" t="str">
        <f t="shared" si="21"/>
        <v>X</v>
      </c>
      <c r="M115" s="7">
        <v>45869</v>
      </c>
      <c r="N115" s="12">
        <f t="shared" si="24"/>
        <v>46599</v>
      </c>
      <c r="O115" s="7">
        <v>46048</v>
      </c>
      <c r="P115" s="12">
        <f t="shared" si="32"/>
        <v>46413</v>
      </c>
      <c r="Q115" s="7"/>
      <c r="R115" s="12" t="str">
        <f t="shared" si="33"/>
        <v>X</v>
      </c>
      <c r="S115" s="7">
        <v>45699</v>
      </c>
      <c r="T115" s="12">
        <f t="shared" si="25"/>
        <v>46429</v>
      </c>
      <c r="U115" s="7"/>
      <c r="V115" s="12" t="str">
        <f t="shared" si="26"/>
        <v>X</v>
      </c>
      <c r="W115" s="12"/>
      <c r="X115" s="12"/>
      <c r="Y115" s="7"/>
      <c r="Z115" s="12" t="str">
        <f t="shared" si="34"/>
        <v>X</v>
      </c>
      <c r="AA115" s="7"/>
      <c r="AB115" s="12" t="str">
        <f t="shared" si="35"/>
        <v>X</v>
      </c>
      <c r="AC115" s="7"/>
      <c r="AD115" s="12" t="str">
        <f t="shared" si="36"/>
        <v>X</v>
      </c>
      <c r="AE115" s="12"/>
      <c r="AF115" s="16"/>
    </row>
    <row r="116" spans="1:42" x14ac:dyDescent="0.45">
      <c r="A116" s="9" t="s">
        <v>219</v>
      </c>
      <c r="B116" s="6" t="s">
        <v>37</v>
      </c>
      <c r="C116" s="7"/>
      <c r="D116" s="12" t="str">
        <f t="shared" si="20"/>
        <v>X</v>
      </c>
      <c r="E116" s="7">
        <v>46218</v>
      </c>
      <c r="F116" s="12">
        <f t="shared" si="31"/>
        <v>46949</v>
      </c>
      <c r="G116" s="7">
        <v>46218</v>
      </c>
      <c r="H116" s="12">
        <f t="shared" si="22"/>
        <v>46949</v>
      </c>
      <c r="I116" s="7"/>
      <c r="J116" s="12"/>
      <c r="K116" s="7">
        <v>46235</v>
      </c>
      <c r="L116" s="12">
        <f t="shared" si="21"/>
        <v>46966</v>
      </c>
      <c r="M116" s="7">
        <v>46218</v>
      </c>
      <c r="N116" s="12">
        <f t="shared" si="24"/>
        <v>46949</v>
      </c>
      <c r="O116" s="7">
        <v>46232</v>
      </c>
      <c r="P116" s="12">
        <f t="shared" si="32"/>
        <v>46597</v>
      </c>
      <c r="Q116" s="7">
        <v>46228</v>
      </c>
      <c r="R116" s="12">
        <f t="shared" si="33"/>
        <v>46593</v>
      </c>
      <c r="S116" s="7">
        <v>46241</v>
      </c>
      <c r="T116" s="12">
        <f t="shared" si="25"/>
        <v>46972</v>
      </c>
      <c r="U116" s="7"/>
      <c r="V116" s="12"/>
      <c r="W116" s="12"/>
      <c r="X116" s="12"/>
      <c r="Y116" s="7"/>
      <c r="Z116" s="12"/>
      <c r="AA116" s="7"/>
      <c r="AB116" s="12"/>
      <c r="AC116" s="7"/>
      <c r="AD116" s="12"/>
      <c r="AE116" s="12"/>
      <c r="AF116" s="16"/>
    </row>
    <row r="117" spans="1:42" x14ac:dyDescent="0.45">
      <c r="A117" s="9" t="s">
        <v>58</v>
      </c>
      <c r="B117" s="6" t="s">
        <v>113</v>
      </c>
      <c r="C117" s="7"/>
      <c r="D117" s="12" t="str">
        <f t="shared" si="20"/>
        <v>X</v>
      </c>
      <c r="E117" s="7">
        <v>45717</v>
      </c>
      <c r="F117" s="12">
        <f t="shared" si="31"/>
        <v>46447</v>
      </c>
      <c r="G117" s="7">
        <v>45721</v>
      </c>
      <c r="H117" s="12">
        <f t="shared" si="22"/>
        <v>46451</v>
      </c>
      <c r="I117" s="7"/>
      <c r="J117" s="12" t="str">
        <f t="shared" si="23"/>
        <v>X</v>
      </c>
      <c r="K117" s="7">
        <v>45799</v>
      </c>
      <c r="L117" s="12">
        <f t="shared" si="21"/>
        <v>46529</v>
      </c>
      <c r="M117" s="7">
        <v>45740</v>
      </c>
      <c r="N117" s="12">
        <f t="shared" si="24"/>
        <v>46470</v>
      </c>
      <c r="O117" s="7">
        <v>46113</v>
      </c>
      <c r="P117" s="12">
        <f t="shared" si="32"/>
        <v>46478</v>
      </c>
      <c r="Q117" s="7">
        <v>46031</v>
      </c>
      <c r="R117" s="12">
        <f t="shared" si="33"/>
        <v>46396</v>
      </c>
      <c r="S117" s="7">
        <v>45548</v>
      </c>
      <c r="T117" s="12">
        <f t="shared" si="25"/>
        <v>46278</v>
      </c>
      <c r="U117" s="7">
        <v>46058</v>
      </c>
      <c r="V117" s="12">
        <f t="shared" si="26"/>
        <v>46788</v>
      </c>
      <c r="W117" s="12"/>
      <c r="X117" s="12"/>
      <c r="Y117" s="7"/>
      <c r="Z117" s="12" t="str">
        <f t="shared" si="34"/>
        <v>X</v>
      </c>
      <c r="AA117" s="7"/>
      <c r="AB117" s="12" t="str">
        <f t="shared" si="35"/>
        <v>X</v>
      </c>
      <c r="AC117" s="7"/>
      <c r="AD117" s="12" t="str">
        <f t="shared" si="36"/>
        <v>X</v>
      </c>
      <c r="AE117" s="12"/>
      <c r="AF117" s="12">
        <v>45834</v>
      </c>
    </row>
    <row r="118" spans="1:42" x14ac:dyDescent="0.45">
      <c r="A118" s="9" t="s">
        <v>55</v>
      </c>
      <c r="B118" s="6" t="s">
        <v>56</v>
      </c>
      <c r="C118" s="7"/>
      <c r="D118" s="12" t="str">
        <f t="shared" si="20"/>
        <v>X</v>
      </c>
      <c r="E118" s="7">
        <v>46036</v>
      </c>
      <c r="F118" s="12">
        <f t="shared" si="31"/>
        <v>46766</v>
      </c>
      <c r="G118" s="7">
        <v>45749</v>
      </c>
      <c r="H118" s="12">
        <f t="shared" si="22"/>
        <v>46479</v>
      </c>
      <c r="I118" s="7"/>
      <c r="J118" s="12" t="str">
        <f t="shared" si="23"/>
        <v>X</v>
      </c>
      <c r="K118" s="7">
        <v>45730</v>
      </c>
      <c r="L118" s="12">
        <f t="shared" si="21"/>
        <v>46460</v>
      </c>
      <c r="M118" s="7">
        <v>45656</v>
      </c>
      <c r="N118" s="12">
        <f t="shared" si="24"/>
        <v>46386</v>
      </c>
      <c r="O118" s="7">
        <v>46036</v>
      </c>
      <c r="P118" s="12">
        <f t="shared" si="32"/>
        <v>46401</v>
      </c>
      <c r="Q118" s="7">
        <v>46031</v>
      </c>
      <c r="R118" s="12">
        <f t="shared" si="33"/>
        <v>46396</v>
      </c>
      <c r="S118" s="7">
        <v>45743</v>
      </c>
      <c r="T118" s="12">
        <f t="shared" si="25"/>
        <v>46473</v>
      </c>
      <c r="U118" s="7"/>
      <c r="V118" s="12" t="str">
        <f t="shared" si="26"/>
        <v>X</v>
      </c>
      <c r="W118" s="12"/>
      <c r="X118" s="12"/>
      <c r="Y118" s="7"/>
      <c r="Z118" s="12" t="str">
        <f t="shared" si="34"/>
        <v>X</v>
      </c>
      <c r="AA118" s="7"/>
      <c r="AB118" s="12" t="str">
        <f t="shared" si="35"/>
        <v>X</v>
      </c>
      <c r="AC118" s="7"/>
      <c r="AD118" s="12" t="str">
        <f t="shared" si="36"/>
        <v>X</v>
      </c>
      <c r="AE118" s="12"/>
      <c r="AF118" s="12"/>
    </row>
    <row r="119" spans="1:42" x14ac:dyDescent="0.45">
      <c r="A119" s="20" t="s">
        <v>184</v>
      </c>
      <c r="B119" s="6" t="s">
        <v>185</v>
      </c>
      <c r="C119" s="12"/>
      <c r="D119" s="12" t="str">
        <f t="shared" si="20"/>
        <v>X</v>
      </c>
      <c r="E119" s="12"/>
      <c r="F119" s="12" t="str">
        <f t="shared" si="31"/>
        <v>X</v>
      </c>
      <c r="G119" s="12"/>
      <c r="H119" s="12" t="str">
        <f t="shared" si="22"/>
        <v>X</v>
      </c>
      <c r="I119" s="12"/>
      <c r="J119" s="12" t="str">
        <f t="shared" si="23"/>
        <v>X</v>
      </c>
      <c r="K119" s="12"/>
      <c r="L119" s="12" t="str">
        <f t="shared" si="21"/>
        <v>X</v>
      </c>
      <c r="M119" s="12"/>
      <c r="N119" s="12" t="str">
        <f t="shared" si="24"/>
        <v>X</v>
      </c>
      <c r="O119" s="12"/>
      <c r="P119" s="12" t="str">
        <f t="shared" si="32"/>
        <v>X</v>
      </c>
      <c r="Q119" s="12"/>
      <c r="R119" s="12" t="str">
        <f t="shared" si="33"/>
        <v>X</v>
      </c>
      <c r="S119" s="12"/>
      <c r="T119" s="12" t="str">
        <f t="shared" si="25"/>
        <v>X</v>
      </c>
      <c r="U119" s="12"/>
      <c r="V119" s="12" t="str">
        <f t="shared" si="26"/>
        <v>X</v>
      </c>
      <c r="W119" s="12"/>
      <c r="X119" s="12"/>
      <c r="Y119" s="12"/>
      <c r="Z119" s="12" t="str">
        <f t="shared" si="34"/>
        <v>X</v>
      </c>
      <c r="AA119" s="12"/>
      <c r="AB119" s="12" t="str">
        <f t="shared" si="35"/>
        <v>X</v>
      </c>
      <c r="AC119" s="7"/>
      <c r="AD119" s="12" t="str">
        <f t="shared" si="36"/>
        <v>X</v>
      </c>
      <c r="AE119" s="12"/>
      <c r="AF119" s="16"/>
    </row>
    <row r="120" spans="1:42" x14ac:dyDescent="0.45">
      <c r="A120" s="20" t="s">
        <v>186</v>
      </c>
      <c r="B120" s="6" t="s">
        <v>187</v>
      </c>
      <c r="C120" s="12"/>
      <c r="D120" s="12" t="str">
        <f t="shared" si="20"/>
        <v>X</v>
      </c>
      <c r="E120" s="12"/>
      <c r="F120" s="12" t="str">
        <f t="shared" si="31"/>
        <v>X</v>
      </c>
      <c r="G120" s="12"/>
      <c r="H120" s="12" t="str">
        <f t="shared" si="22"/>
        <v>X</v>
      </c>
      <c r="I120" s="12"/>
      <c r="J120" s="12" t="str">
        <f t="shared" si="23"/>
        <v>X</v>
      </c>
      <c r="K120" s="12"/>
      <c r="L120" s="12" t="str">
        <f t="shared" si="21"/>
        <v>X</v>
      </c>
      <c r="M120" s="12"/>
      <c r="N120" s="12" t="str">
        <f t="shared" si="24"/>
        <v>X</v>
      </c>
      <c r="O120" s="12"/>
      <c r="P120" s="12" t="str">
        <f t="shared" si="32"/>
        <v>X</v>
      </c>
      <c r="Q120" s="12"/>
      <c r="R120" s="12" t="str">
        <f t="shared" si="33"/>
        <v>X</v>
      </c>
      <c r="S120" s="12"/>
      <c r="T120" s="12" t="str">
        <f t="shared" si="25"/>
        <v>X</v>
      </c>
      <c r="U120" s="12"/>
      <c r="V120" s="12" t="str">
        <f t="shared" si="26"/>
        <v>X</v>
      </c>
      <c r="W120" s="12"/>
      <c r="X120" s="12"/>
      <c r="Y120" s="12"/>
      <c r="Z120" s="12" t="str">
        <f t="shared" si="34"/>
        <v>X</v>
      </c>
      <c r="AA120" s="12"/>
      <c r="AB120" s="12" t="str">
        <f t="shared" si="35"/>
        <v>X</v>
      </c>
      <c r="AC120" s="7"/>
      <c r="AD120" s="12" t="str">
        <f t="shared" si="36"/>
        <v>X</v>
      </c>
      <c r="AE120" s="12"/>
      <c r="AF120" s="16"/>
    </row>
    <row r="121" spans="1:42" x14ac:dyDescent="0.45"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</row>
    <row r="122" spans="1:42" x14ac:dyDescent="0.45"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</row>
    <row r="123" spans="1:42" x14ac:dyDescent="0.45"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 t="s">
        <v>96</v>
      </c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</row>
    <row r="124" spans="1:42" x14ac:dyDescent="0.45"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</row>
    <row r="125" spans="1:42" x14ac:dyDescent="0.45"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</row>
    <row r="126" spans="1:42" x14ac:dyDescent="0.45"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</row>
    <row r="127" spans="1:42" x14ac:dyDescent="0.45"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</row>
    <row r="128" spans="1:42" x14ac:dyDescent="0.45"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</row>
    <row r="129" spans="5:31" x14ac:dyDescent="0.45"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</row>
  </sheetData>
  <autoFilter ref="A1:AF120" xr:uid="{00000000-0009-0000-0000-000000000000}"/>
  <sortState xmlns:xlrd2="http://schemas.microsoft.com/office/spreadsheetml/2017/richdata2" ref="A2:W87">
    <sortCondition ref="A2"/>
  </sortState>
  <conditionalFormatting sqref="V3:X4 V2 W5:X118 V5:V120 J2:J120 P2:P120 AB2:AB120 R2:R120 L2:L120 Z2:Z120 AD2:AD120 F3:F120 H2:H120 N2:N120 T2:T120">
    <cfRule type="expression" dxfId="5" priority="4">
      <formula>F2&lt;=TODAY()+15</formula>
    </cfRule>
    <cfRule type="expression" dxfId="4" priority="5">
      <formula>AND(F2&gt;TODAY(), F2&lt;=TODAY()+44)</formula>
    </cfRule>
    <cfRule type="expression" dxfId="3" priority="8">
      <formula>F2&gt;=TODAY()+45</formula>
    </cfRule>
  </conditionalFormatting>
  <conditionalFormatting sqref="D3:D120">
    <cfRule type="expression" dxfId="2" priority="1">
      <formula>D3&lt;=TODAY()+15</formula>
    </cfRule>
    <cfRule type="expression" dxfId="1" priority="2">
      <formula>AND(D3&gt;TODAY(), D3&lt;=TODAY()+44)</formula>
    </cfRule>
    <cfRule type="expression" dxfId="0" priority="3">
      <formula>D3&gt;=TODAY()+45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ALTEC INDUSTRIAL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Altec</dc:creator>
  <cp:lastModifiedBy>Altec Industrial</cp:lastModifiedBy>
  <cp:lastPrinted>2024-09-25T13:54:11Z</cp:lastPrinted>
  <dcterms:created xsi:type="dcterms:W3CDTF">2024-08-23T12:25:42Z</dcterms:created>
  <dcterms:modified xsi:type="dcterms:W3CDTF">2026-08-26T19:46:17Z</dcterms:modified>
</cp:coreProperties>
</file>